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Business\ПРОЕКТЫ\Excel\Бауманка\МАТЕРИАЛЫ КУРСА\Материалы MS\"/>
    </mc:Choice>
  </mc:AlternateContent>
  <xr:revisionPtr revIDLastSave="0" documentId="8_{B774D66A-B5D6-4285-A2FD-BB6B3456434E}" xr6:coauthVersionLast="37" xr6:coauthVersionMax="37" xr10:uidLastSave="{00000000-0000-0000-0000-000000000000}"/>
  <bookViews>
    <workbookView xWindow="0" yWindow="0" windowWidth="21600" windowHeight="2625" tabRatio="927" xr2:uid="{00000000-000D-0000-FFFF-FFFF00000000}"/>
  </bookViews>
  <sheets>
    <sheet name="Начало" sheetId="2" r:id="rId1"/>
    <sheet name="Основные сведения" sheetId="19" r:id="rId2"/>
    <sheet name="Общие сведения о функциях" sheetId="16" r:id="rId3"/>
    <sheet name="СРЗНАЧ" sheetId="1" r:id="rId4"/>
    <sheet name="МИН И МАКС" sheetId="11" r:id="rId5"/>
    <sheet name="Дата и время" sheetId="10" r:id="rId6"/>
    <sheet name="Объединение текста и чисел" sheetId="15" r:id="rId7"/>
    <sheet name="Операторы ЕСЛИ" sheetId="13" r:id="rId8"/>
    <sheet name="ВПР" sheetId="9" r:id="rId9"/>
    <sheet name="Условные функции" sheetId="7" r:id="rId10"/>
    <sheet name="Мастер функций" sheetId="20" r:id="rId11"/>
    <sheet name="Ошибки в формулах" sheetId="21" r:id="rId12"/>
    <sheet name="Дополнительные сведения" sheetId="17" r:id="rId13"/>
  </sheets>
  <externalReferences>
    <externalReference r:id="rId14"/>
    <externalReference r:id="rId15"/>
  </externalReferences>
  <definedNames>
    <definedName name="_xlnm._FilterDatabase" localSheetId="1" hidden="1">[1]Basics!$P$9:$Q$10</definedName>
    <definedName name="_xlnm._FilterDatabase" localSheetId="9" hidden="1">'[2]Conditional Functions'!$F$2:$H$14</definedName>
    <definedName name="ExtraCredit" localSheetId="2">'Общие сведения о функциях'!$F$9:$G$14</definedName>
    <definedName name="grp_WalkMeArrows">"shp_ArrowCurved,txt_WalkMeArrows,shp_ArrowStraight"</definedName>
    <definedName name="grp_WalkMeBrace">"shp_BraceBottom,txt_WalkMeBrace,shp_BraceLeft"</definedName>
    <definedName name="lst_Fruit">tbl_Fruit[Фрукт]</definedName>
    <definedName name="lst_FruitType">tbl_FruitType[Яблоки]</definedName>
    <definedName name="MoreFruit" localSheetId="2">'Общие сведения о функциях'!$C$34:$D$39</definedName>
    <definedName name="MoreItems" localSheetId="2">'Общие сведения о функциях'!$C$44:$D$48</definedName>
    <definedName name="SUMExtraCredit" localSheetId="2">'Общие сведения о функциях'!$F$9:$G$14</definedName>
    <definedName name="Апельсины">tbl_FruitType4[Апельсины]</definedName>
    <definedName name="Бананы">tbl_FruitType6[Бананы]</definedName>
    <definedName name="Доставка">1.25</definedName>
    <definedName name="_xlnm.Extract" localSheetId="9">'Условные функции'!$AB$2</definedName>
    <definedName name="Итого" localSheetId="2">'Общие сведения о функциях'!$D$50:$D$51</definedName>
    <definedName name="Лимоны">tbl_FruitType5[Лимоны]</definedName>
    <definedName name="Мясо" localSheetId="2">'Общие сведения о функциях'!$F$2:$G$6</definedName>
    <definedName name="НДС">0.0825</definedName>
    <definedName name="Товары" localSheetId="2">'Общие сведения о функциях'!$C$9:$D$14</definedName>
    <definedName name="ф18">'Основные сведения'!$C$62</definedName>
    <definedName name="Фрукты" localSheetId="2">'Общие сведения о функциях'!$C$2:$D$6</definedName>
    <definedName name="Яблоки">tbl_FruitType[Яблоки]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3" i="7" l="1"/>
  <c r="F6" i="10" l="1"/>
  <c r="A4" i="7" l="1"/>
  <c r="E3" i="15" l="1"/>
  <c r="F3" i="15" l="1"/>
  <c r="D12" i="13" l="1"/>
  <c r="F35" i="13"/>
  <c r="E31" i="13"/>
  <c r="F29" i="13"/>
  <c r="F31" i="13" s="1"/>
  <c r="F33" i="13" s="1"/>
  <c r="F28" i="13"/>
  <c r="D10" i="20" l="1"/>
  <c r="G51" i="16"/>
  <c r="D7" i="16" l="1"/>
  <c r="G7" i="19"/>
  <c r="D36" i="21"/>
  <c r="D8" i="10" l="1"/>
  <c r="D9" i="21"/>
  <c r="J43" i="19" l="1"/>
  <c r="E106" i="7" l="1"/>
  <c r="G6" i="19" l="1"/>
  <c r="G5" i="19"/>
  <c r="G4" i="19"/>
  <c r="G3" i="19"/>
  <c r="G43" i="9" l="1"/>
  <c r="D43" i="9"/>
  <c r="D36" i="10" l="1"/>
  <c r="H64" i="7" l="1"/>
  <c r="D64" i="7"/>
  <c r="D51" i="16" l="1"/>
  <c r="G15" i="11" l="1"/>
  <c r="D39" i="16"/>
  <c r="D29" i="15"/>
  <c r="C37" i="15" s="1"/>
  <c r="D28" i="15"/>
  <c r="C36" i="15" s="1"/>
  <c r="F37" i="13" l="1"/>
  <c r="C32" i="15"/>
  <c r="D11" i="10"/>
  <c r="C33" i="15"/>
</calcChain>
</file>

<file path=xl/sharedStrings.xml><?xml version="1.0" encoding="utf-8"?>
<sst xmlns="http://schemas.openxmlformats.org/spreadsheetml/2006/main" count="645" uniqueCount="312">
  <si>
    <t>Начало работы с формулами</t>
  </si>
  <si>
    <t>Выполнив всего несколько шагов, вы научитесь вводить формулы и функции в Excel — самом популярном приложении для работы с электронными таблицами.</t>
  </si>
  <si>
    <t>Чтобы вернуться в начало страницы, нажмите клавиши CTRL+HOME. Чтобы начать курс, нажмите клавиши CTRL+PAGE DOWN.</t>
  </si>
  <si>
    <t>Основные сведения: математические расчеты в Excel</t>
  </si>
  <si>
    <t xml:space="preserve">Вы можете складывать, вычитать, умножать и делить числа в Excel, не используя встроенные функции. Для этого потребуются только основные операторы: +, -, *, /. Все формулы начинаются со знака равенства (=).
</t>
  </si>
  <si>
    <t xml:space="preserve">Чтобы сложить числа, выделите ячейку F3, введите =C3+C4, а затем нажмите клавишу ВВОД. 
</t>
  </si>
  <si>
    <t xml:space="preserve">Чтобы вычесть числа, выделите ячейку F4, введите =C3-C4, а затем нажмите клавишу ВВОД. </t>
  </si>
  <si>
    <t xml:space="preserve">Чтобы умножить числа, выделите ячейку F5, введите =C3*C4, а затем нажмите клавишу ВВОД.
</t>
  </si>
  <si>
    <t xml:space="preserve">Чтобы поделить числа, выделите ячейку F6, введите =C3/C4, а затем нажмите клавишу ВВОД.
</t>
  </si>
  <si>
    <t>ДОПОЛНИТЕЛЬНО Чтобы возвести значение в степень, используйте символ крышки (^), например: =A1^A2. Для ввода формулы нажмите SHIFT+6. В ячейке F7 введите =C3^C4.</t>
  </si>
  <si>
    <t>Подробнее</t>
  </si>
  <si>
    <t>Следующий шаг</t>
  </si>
  <si>
    <t>Немного о формулах, ячейках и диапазонах</t>
  </si>
  <si>
    <t xml:space="preserve">Листы Excel состоят из ячеек, которые сгруппированы по строкам и столбцам. Строкам присвоены номера, а столбцам — буквы. На листе больше миллиона строк и 16 000 столбцов, и вы можете вставлять формулы в любые ячейки на их пересечении. 
</t>
  </si>
  <si>
    <t xml:space="preserve">Как вы заметили, в третьем примере мы использовали функцию СУММ. Функция — это встроенная команда, которая принимает значения, определенным образом обрабатывает их и возвращает результат. Например, функция СУММ принимает в качестве значений ссылки на ячейки или диапазоны и суммирует их. В данном примере она вычисляет сумму значений в ячейках с A1 по A10. В Excel более 400 функций, и все их можно найти на вкладке «Формулы».
</t>
  </si>
  <si>
    <t xml:space="preserve">Формулы с функциями начинаются со знака равенства, за которым следуют имя функции и ее аргументы (значения, которые функция использует для вычисления), заключенные в круглые скобки. 
</t>
  </si>
  <si>
    <t xml:space="preserve">Чтобы подтвердить формулу, нужно нажать клавишу ВВОД. После этого формула будет вычислена, а результат отобразится в ячейке. Чтобы просмотреть саму формулу, взгляните на строку формул под лентой или нажмите клавишу F2, чтобы перейти в режим правки, в котором формула выводится в ячейке. Нажмите клавишу ВВОД еще раз, чтобы завершить работу над формулой и вычислить результат.
</t>
  </si>
  <si>
    <t>Пояснения формул</t>
  </si>
  <si>
    <t>=СУММ(A1:A10) — это формула, в которой СУММ — это имя функции, в скобках указаны ее аргументы, а A1:A10 — диапазон ячеек для функции.</t>
  </si>
  <si>
    <t xml:space="preserve">ПОЛЕЗНЫЕ СВЕДЕНИЯ Константы — это значения, которые вводятся в ячейки и формулы. Хотя формула =10+20 может давать тот же результат, что и =A1+B1, использовать константы не рекомендуется. Это объясняется следующим: чтобы увидеть значение константы, нужно выделить ячейку и найти его в ней. Из-за этого константы сложно изменять. Гораздо удобнее ввести значения в отдельные ячейки, где их можно легко изменять, и добавить ссылки на них в формулу.
Например, выделите желтую ячейку с числом 12 ниже. Вы увидите, что в ней используется функция СУММ, которая ссылается на диапазон ячеек. В формуле нет самих чисел 4 и 8. 
</t>
  </si>
  <si>
    <t>Назад</t>
  </si>
  <si>
    <t>Далее</t>
  </si>
  <si>
    <t>Дополнительные сведения в Интернете</t>
  </si>
  <si>
    <t>Использование Microsoft Excel в качестве калькулятора</t>
  </si>
  <si>
    <t>Полные сведения о формулах в Excel</t>
  </si>
  <si>
    <t xml:space="preserve">Функции Excel (по категориям) </t>
  </si>
  <si>
    <t>Функции Excel (по алфавиту) </t>
  </si>
  <si>
    <t>Бесплатные учебные веб-курсы по Excel</t>
  </si>
  <si>
    <t>Числа:</t>
  </si>
  <si>
    <t>Операция:</t>
  </si>
  <si>
    <t xml:space="preserve">Сложение (+) </t>
  </si>
  <si>
    <t xml:space="preserve">Вычитание (-) </t>
  </si>
  <si>
    <t xml:space="preserve">Умножение (*) </t>
  </si>
  <si>
    <t xml:space="preserve">Деление (/) </t>
  </si>
  <si>
    <t xml:space="preserve">Возведение в степень (^) </t>
  </si>
  <si>
    <t>Формулы:</t>
  </si>
  <si>
    <t>Ответы:</t>
  </si>
  <si>
    <t>Значения</t>
  </si>
  <si>
    <t>Общие сведения о функциях</t>
  </si>
  <si>
    <t>Функции позволяют выполнять математические операции, подставлять значения, рассчитывать значения даты и времени и делать многое другое. Попробуем сложить значения с помощью функции СУММ несколькими способами.</t>
  </si>
  <si>
    <t xml:space="preserve">В столбце «Количество» для фруктов (ячейка D7) введите =СУММ(D3:D6). Вы также можете ввести =СУММ( и выбрать диапазон с помощью мыши, а затем нажать клавишу ВВОД. При этом будут просуммированы значения в ячейках D3, D4, D5 и D6. В результате должно получиться 170.
</t>
  </si>
  <si>
    <t>Также можно использовать сочетание клавиш. Выберите ячейку D15, нажмите ALT=, а затем — ВВОД. При этом автоматически будет введена формула с функцией СУММ.</t>
  </si>
  <si>
    <t>ДОПОЛНИТЕЛЬНО
Попробуйте использовать функцию СЧЁТ с помощью одного из этих способов. Она подсчитывает количество ячеек в диапазоне, содержащих числа.</t>
  </si>
  <si>
    <t>Еще немного о функциях</t>
  </si>
  <si>
    <t>Откройте вкладку «Формулы» и просмотрите библиотеку функций. В ней функции упорядочены по категориям, например «Текстовые», «Дата и время» и т. д. Если нажать кнопку «Вставить функцию», можно будет найти функцию по имени. После этого запустится мастер функций, который поможет вам создать формулу. 
Если нажать = и начать вводить имя функции, активируется средство Intellisense, которое перечисляет все функции, названия которых начинаются с вводимых букв. Когда вы найдете нужный вариант, нажмите клавишу TAB, и Excel автоматически завершит имя функции и введет открывающую круглую скобку. Кроме того, будут показаны обязательные и необязательные аргументы. 
Рассмотрим структуру нескольких функций. Функция СУММ имеет следующий синтаксис:</t>
  </si>
  <si>
    <t xml:space="preserve">Функция СУММ возвращает сумму всех значений в ячейках с D38 по D41 и во всем столбце H. СУММ — это имя функции, D38:D41 — первый аргумент диапазона (он почти всегда является обязательным), а H:H — второй аргумент диапазона, отделенный точкой с запятой. Теперь посмотрим на функцию, которая не требует никаких аргументов.
</t>
  </si>
  <si>
    <t>Функция СЕГОДНЯ возвращает текущую дату. Ее результат автоматически обновляется при пересчете книги Excel.</t>
  </si>
  <si>
    <t xml:space="preserve">ПОПРОБУЙТЕ САМИ!
Выделите эти ячейки. Затем в правом нижнем углу окна Excel найдите надпись «Сумма: 170». Эта нижняя область называется строкой состояния. В ней можно быстро просмотреть итоговое значение и другие сведения о выделенной ячейке или диапазоне. </t>
  </si>
  <si>
    <t>Все о функции СУММ</t>
  </si>
  <si>
    <t>Использование функции «Автосумма» для суммирования чисел</t>
  </si>
  <si>
    <t>Все о функции СЧЁТ</t>
  </si>
  <si>
    <t>В начало страницы</t>
  </si>
  <si>
    <t>Чтобы вернуться в начало страницы, нажмите клавиши CTRL+HOME. Чтобы перейти к следующему шагу, нажмите клавиши CTRL+PAGE DOWN.</t>
  </si>
  <si>
    <t>Фрукт</t>
  </si>
  <si>
    <t>Яблоки</t>
  </si>
  <si>
    <t>Апельсины</t>
  </si>
  <si>
    <t>Бананы</t>
  </si>
  <si>
    <t>Лимоны</t>
  </si>
  <si>
    <t xml:space="preserve">Сумма &gt; </t>
  </si>
  <si>
    <t>Товар</t>
  </si>
  <si>
    <t>Хлеб</t>
  </si>
  <si>
    <t>Пончики</t>
  </si>
  <si>
    <t>Печенье</t>
  </si>
  <si>
    <t>Торты</t>
  </si>
  <si>
    <t>Пироги</t>
  </si>
  <si>
    <t>Автомобили</t>
  </si>
  <si>
    <t>Грузовики</t>
  </si>
  <si>
    <t>Велосипеды</t>
  </si>
  <si>
    <t>Коньки</t>
  </si>
  <si>
    <t>Количество</t>
  </si>
  <si>
    <t>Итого:</t>
  </si>
  <si>
    <t>Мясо</t>
  </si>
  <si>
    <t>Говядина</t>
  </si>
  <si>
    <t>Курятина</t>
  </si>
  <si>
    <t>Свинина</t>
  </si>
  <si>
    <t>Рыба</t>
  </si>
  <si>
    <t>Счет &gt;</t>
  </si>
  <si>
    <t>Дополнительное значение</t>
  </si>
  <si>
    <t>Новый итог</t>
  </si>
  <si>
    <t>Функция СРЗНАЧ</t>
  </si>
  <si>
    <r>
      <t xml:space="preserve">Функция </t>
    </r>
    <r>
      <rPr>
        <b/>
        <sz val="11"/>
        <color theme="0"/>
        <rFont val="Segoe UI"/>
        <family val="2"/>
      </rPr>
      <t>СРЗНАЧ</t>
    </r>
    <r>
      <rPr>
        <sz val="11"/>
        <color theme="0"/>
        <rFont val="Segoe UI"/>
        <family val="2"/>
      </rPr>
      <t xml:space="preserve"> вычисляет среднее значение чисел в диапазоне ячеек.</t>
    </r>
  </si>
  <si>
    <r>
      <t xml:space="preserve">Затем выберите ячейку G7 и введите функцию </t>
    </r>
    <r>
      <rPr>
        <b/>
        <sz val="11"/>
        <color theme="0"/>
        <rFont val="Segoe UI"/>
        <family val="2"/>
      </rPr>
      <t>СРЗНАЧ</t>
    </r>
    <r>
      <rPr>
        <sz val="11"/>
        <color theme="0"/>
        <rFont val="Segoe UI"/>
        <family val="2"/>
      </rPr>
      <t xml:space="preserve">: </t>
    </r>
    <r>
      <rPr>
        <b/>
        <sz val="11"/>
        <color theme="0"/>
        <rFont val="Segoe UI"/>
        <family val="2"/>
      </rPr>
      <t xml:space="preserve">=СРЗНАЧ(G3:G6). </t>
    </r>
  </si>
  <si>
    <t xml:space="preserve">ПОПРОБУЙТЕ САМИ!
Выберите любой диапазон чисел, а затем взгляните на строку состояния, чтобы узнать их среднее значение.
</t>
  </si>
  <si>
    <t>Активировать предыдущий лист</t>
  </si>
  <si>
    <t>Перейти к следующему листу</t>
  </si>
  <si>
    <t xml:space="preserve">ДОПОЛНИТЕЛЬНО
Попробуйте использовать здесь функцию МЕДИАНА или МОДА. 
МЕДИАНА выводит значение, которое приходится на середину набора данных, а  
МОДА — самое частое значение.
</t>
  </si>
  <si>
    <t>Подробные сведения о функции СРЗНАЧ в Интернете</t>
  </si>
  <si>
    <t>Подробные сведения о функции МЕДИАНА в Интернете</t>
  </si>
  <si>
    <t>Подробные сведения о функции МОДА в Интернете</t>
  </si>
  <si>
    <t>Сведения о бесплатных учебных веб-курсах по Excel</t>
  </si>
  <si>
    <t>Среднее &gt;</t>
  </si>
  <si>
    <t xml:space="preserve">Дополнительные сведения о функции СУММ </t>
  </si>
  <si>
    <t>С помощью нескольких описанных выше советов вы научились использовать функцию СУММ. Рассмотрим ее немного подробнее.</t>
  </si>
  <si>
    <t xml:space="preserve">Ячейки с C37 по D41 содержат данные из двух столбцов: «Фрукт» и «Количество». </t>
  </si>
  <si>
    <t>Формула в ячейке D42: =СУММ(D38:D41).</t>
  </si>
  <si>
    <t>Если бы функция СУММ в ячейке D42 могла говорить, вот что бы она сказала: Просуммируйте значения в ячейках D38, D39, D40 и D41.</t>
  </si>
  <si>
    <t>Вот еще один способ использования этой функции.</t>
  </si>
  <si>
    <t xml:space="preserve">Ячейки с C47 по D48 содержат данные из двух столбцов: «Товар» и «Количество». </t>
  </si>
  <si>
    <t>Все о функции СУММЕСЛИ</t>
  </si>
  <si>
    <t>Используйте Excel в качестве калькулятора</t>
  </si>
  <si>
    <t>Функции МИН и МАКС</t>
  </si>
  <si>
    <r>
      <t xml:space="preserve">Функция </t>
    </r>
    <r>
      <rPr>
        <b/>
        <sz val="10"/>
        <color theme="0"/>
        <rFont val="Calibri"/>
        <family val="2"/>
        <scheme val="minor"/>
      </rPr>
      <t>МИН</t>
    </r>
    <r>
      <rPr>
        <sz val="10"/>
        <color theme="0"/>
        <rFont val="Calibri"/>
        <family val="2"/>
        <scheme val="minor"/>
      </rPr>
      <t xml:space="preserve"> выводит минимальное число в диапазоне ячеек.</t>
    </r>
  </si>
  <si>
    <r>
      <t xml:space="preserve">Функция </t>
    </r>
    <r>
      <rPr>
        <b/>
        <sz val="10"/>
        <color theme="0"/>
        <rFont val="Calibri"/>
        <family val="2"/>
        <scheme val="minor"/>
      </rPr>
      <t>МАКС</t>
    </r>
    <r>
      <rPr>
        <sz val="10"/>
        <color theme="0"/>
        <rFont val="Calibri"/>
        <family val="2"/>
        <scheme val="minor"/>
      </rPr>
      <t xml:space="preserve"> позволяет узнать самое большое число в диапазоне ячеек.</t>
    </r>
  </si>
  <si>
    <t xml:space="preserve">Выберите ячейку D7, а затем добавьте функцию МИН с помощью мастера автосуммирования.
</t>
  </si>
  <si>
    <t xml:space="preserve">Затем выберите ячейку G7 и введите функцию МАКС: =МАКС(D3:D6).
</t>
  </si>
  <si>
    <t xml:space="preserve">В ячейке D15 можно воспользоваться мастером автосуммирования или же ввести функцию МИН или МАКС от руки. 
</t>
  </si>
  <si>
    <t xml:space="preserve">Дополнительные сведения в Интернете
</t>
  </si>
  <si>
    <t>Все о функции МИН</t>
  </si>
  <si>
    <t>Все о функции МАКС</t>
  </si>
  <si>
    <t xml:space="preserve">ПОЛЕЗНЫЕ СВЕДЕНИЯ
Функцию МИН или МАКС можно использовать с несколькими диапазонами или значениями, например =МИН(A1:A10;B1:B10) или =МАКС(A1:A10;B1). В последней формуле B1 является пороговым значением, то есть формула никогда не выводит результат меньше B1.
</t>
  </si>
  <si>
    <r>
      <t xml:space="preserve">Функцию </t>
    </r>
    <r>
      <rPr>
        <b/>
        <sz val="10"/>
        <color theme="0"/>
        <rFont val="Calibri"/>
        <family val="2"/>
        <scheme val="minor"/>
      </rPr>
      <t>МИН</t>
    </r>
    <r>
      <rPr>
        <sz val="10"/>
        <color theme="0"/>
        <rFont val="Calibri"/>
        <family val="2"/>
        <scheme val="minor"/>
      </rPr>
      <t xml:space="preserve"> или </t>
    </r>
    <r>
      <rPr>
        <b/>
        <sz val="10"/>
        <color theme="0"/>
        <rFont val="Calibri"/>
        <family val="2"/>
        <scheme val="minor"/>
      </rPr>
      <t>МАКС</t>
    </r>
    <r>
      <rPr>
        <sz val="10"/>
        <color theme="0"/>
        <rFont val="Calibri"/>
        <family val="2"/>
        <scheme val="minor"/>
      </rPr>
      <t xml:space="preserve"> можно использовать с несколькими диапазонами или значениями, например =МИН(A1:A10;B1:B10) или =МАКС(A1:A10;10).</t>
    </r>
  </si>
  <si>
    <r>
      <t xml:space="preserve">Все о функции </t>
    </r>
    <r>
      <rPr>
        <b/>
        <sz val="10"/>
        <color theme="0"/>
        <rFont val="Calibri"/>
        <family val="2"/>
        <scheme val="minor"/>
      </rPr>
      <t>МИН</t>
    </r>
  </si>
  <si>
    <r>
      <t xml:space="preserve">Все о функции </t>
    </r>
    <r>
      <rPr>
        <b/>
        <sz val="10"/>
        <color theme="0"/>
        <rFont val="Calibri"/>
        <family val="2"/>
        <scheme val="minor"/>
      </rPr>
      <t>МАКС</t>
    </r>
  </si>
  <si>
    <t>Минимум &gt;</t>
  </si>
  <si>
    <t>Минимум или максимум &gt;</t>
  </si>
  <si>
    <t>Максимум &gt;</t>
  </si>
  <si>
    <t>Функции даты</t>
  </si>
  <si>
    <t>Excel может вывести текущую дату с учетом региональных параметров компьютера. Кроме того, он может складывать и вычитать даты.</t>
  </si>
  <si>
    <t xml:space="preserve">Попробуйте использовать функцию СЕГОДНЯ, которая выводит сегодняшнюю дату. Это динамическая функция, поэтому если вы откроете книгу завтра, дата изменится. Введите =СЕГОДНЯ() в ячейку D6. 
</t>
  </si>
  <si>
    <t xml:space="preserve">Вычитание дат: введите в ячейку D7 свой следующий день рождения в формате дд.мм.гг, и Excel подсчитает в ячейке D8, сколько дней до него осталось, с помощью формулы = D7-D6.
</t>
  </si>
  <si>
    <t xml:space="preserve">Сложение дат: предположим, вы хотите узнать, когда следует оплатить счет или вернуть книгу в библиотеку. Для этого можно прибавить нужное количество дней к дате. В ячейке D10 введите какое-либо число дней. В ячейке D11 указана формула =D6+D10, которая рассчитывает срок начиная с текущей даты.
</t>
  </si>
  <si>
    <t xml:space="preserve">ПОЛЕЗНЫЕ СВЕДЕНИЯ
Excel хранит даты в виде количества дней, прошедших с 1 января 1900 г. Значения времени переводятся в минуты и хранятся как дробные части дня. Например, значение 12:30 01.01.2017 хранится как 42736,5208. Если значения времени или даты отображаются в виде таких чисел, вы можете нажать клавиши CTRL+1 и на вкладке Число выбрать формат «Дата» или «Время». </t>
  </si>
  <si>
    <t xml:space="preserve">ВАЖНО
Если вы не хотите, чтобы Excel выводил отрицательное число, потому что вы еще не указали свой день рождения, используйте формулу =ЕСЛИ(D7="";"";D7-D6). Она означает следующее: если ячейка D7 пуста, ничего не отображать, в противном случае вывести D7 минус D6.
</t>
  </si>
  <si>
    <t>Функции времени</t>
  </si>
  <si>
    <t xml:space="preserve">Excel может вывести текущее время с учетом региональных параметров компьютера. Кроме того, он может складывать и вычитать значения времени. Например, вы можете отслеживать, сколько часов в неделю проработал сотрудник, чтобы вычислять его зарплату и сверхурочные.
</t>
  </si>
  <si>
    <t>Вот как расшифровывается эта формула: возьмем время окончания работы и вычтем из него время начала, затем отнимем от полученного значения разницу между окончанием и началом обеда и умножим результат на 24, чтобы преобразовать дробные значения времени в часы. Схематично это можно представить как =((Окончание работы - Начало работы)-(Окончание обеда - Начало обеда))*24.</t>
  </si>
  <si>
    <t>Все о функции СЕГОДНЯ</t>
  </si>
  <si>
    <t>Все о функции ТДАТА</t>
  </si>
  <si>
    <t>Все о функции ДАТА</t>
  </si>
  <si>
    <t>Сегодняшняя дата:</t>
  </si>
  <si>
    <t>Ваш день рождения:</t>
  </si>
  <si>
    <t>Дней до дня рождения:</t>
  </si>
  <si>
    <t>Период оплаты:</t>
  </si>
  <si>
    <t>Срок платежа:</t>
  </si>
  <si>
    <t>Текущее время:</t>
  </si>
  <si>
    <t>Отработано часов</t>
  </si>
  <si>
    <t>Время начала:</t>
  </si>
  <si>
    <t>Окончание обеда:</t>
  </si>
  <si>
    <t>Начало обеда:</t>
  </si>
  <si>
    <t>Время окончания:</t>
  </si>
  <si>
    <t>Всего часов:</t>
  </si>
  <si>
    <t>Статические значения даты и время</t>
  </si>
  <si>
    <t>Дата:</t>
  </si>
  <si>
    <t>Время:</t>
  </si>
  <si>
    <t>Объединение текста из разных ячеек</t>
  </si>
  <si>
    <t xml:space="preserve">В Excel часто приходится объединять текстовые строки, которые находятся в разных ячейках. Допустим, у вас есть списки имен и фамилий и вы хотите объединить их в полные имена. К счастью, в Excel это можно сделать с помощью амперсанда (&amp;), который вводится путем нажатия клавиш SHIFT+7.
</t>
  </si>
  <si>
    <t xml:space="preserve">В ячейке E3 введите =D3&amp;C3, чтобы объединить фамилии и имена. 
</t>
  </si>
  <si>
    <t xml:space="preserve">Кроме того, соединим имя с фамилией в обратном порядке. В ячейке F3 введем =C3&amp;" "&amp;D3.
</t>
  </si>
  <si>
    <t>Объединение текста и чисел</t>
  </si>
  <si>
    <t>Попробуем объединить с помощью оператора &amp; не только текстовые строки, но и числа.
Взгляните на диапазон C28:D29. Значения даты и времени указаны в разных ячейках. Их можно объединить с помощью символа &amp;, но результат в ячейках C32:C33 не слишком радует. К сожалению, Excel не знает, как вы хотите отформатировать числа, поэтому представляет их в базовом формате. В данном случае это порядковый номер даты. Нужно в явном виде указать, как следует отформатировать число в формуле. Для этого можно использовать функцию ТЕКСТ и код формата.</t>
  </si>
  <si>
    <t>СЛЕДУЕТ ЗНАТЬ
Если вы не знаете, какой код формата использовать, нажмите клавиши CTRL+1 и выберите формат на вкладке «Число».  Затем щелкните «(все форматы)». Вы можете скопировать нужный код формата в формулу.</t>
  </si>
  <si>
    <t>Все о функции ТЕКСТ</t>
  </si>
  <si>
    <t>Имя</t>
  </si>
  <si>
    <t>Надежда</t>
  </si>
  <si>
    <t>Виктор</t>
  </si>
  <si>
    <t>Виталий</t>
  </si>
  <si>
    <t>Валентина</t>
  </si>
  <si>
    <t>Николай</t>
  </si>
  <si>
    <t>Василий</t>
  </si>
  <si>
    <t>Кирилл</t>
  </si>
  <si>
    <t>Евгения</t>
  </si>
  <si>
    <t>Использование текста и чисел</t>
  </si>
  <si>
    <t>Форматирование текста и чисел</t>
  </si>
  <si>
    <t>Фамилия</t>
  </si>
  <si>
    <t>Колесникова</t>
  </si>
  <si>
    <t>Дегтярев</t>
  </si>
  <si>
    <t>Токарев</t>
  </si>
  <si>
    <t>Александрова</t>
  </si>
  <si>
    <t>Белых</t>
  </si>
  <si>
    <t>Бутусов</t>
  </si>
  <si>
    <t>Крюков</t>
  </si>
  <si>
    <t>Маслова</t>
  </si>
  <si>
    <t>Имя Фамилия</t>
  </si>
  <si>
    <t>Фамилия Имя</t>
  </si>
  <si>
    <t>Операторы ЕСЛИ</t>
  </si>
  <si>
    <t>Операторы ЕСЛИ позволяют выполнять логические сравнения условий. Обычно оператор ЕСЛИ означает следующее: если условие имеет значение ИСТИНА, следует выполнить некое действие, в противном случае необходимо выполнить другое действие. Формулы могут возвращать текст, значения или даже другие вычисления.</t>
  </si>
  <si>
    <t xml:space="preserve">В ячейке D9 введите =ЕСЛИ(C9="Яблоко";ИСТИНА;ЛОЖЬ). Правильный ответ — ИСТИНА. 
</t>
  </si>
  <si>
    <t xml:space="preserve">Скопируйте ячейку D9 в D10. В ней будет выведен ответ ЛОЖЬ, так как апельсины и яблоки — разные вещи.
</t>
  </si>
  <si>
    <t>ВАЖНО
В отличие от других слов, значения ИСТИНА и ЛОЖЬ не нужно заключать в кавычки. Кроме того, Excel автоматически пишет их с большой буквы. Для чисел также не нужны кавычки. Обычный текст, такой как «Да» или «Нет», необходимо заключать в кавычки: 
=ЕСЛИ(C3="Яблоко";"Да";"Нет")</t>
  </si>
  <si>
    <t>Оператор ЕСЛИ с другой функцией</t>
  </si>
  <si>
    <t xml:space="preserve">С помощью операторов ЕСЛИ также можно выполнять дополнительные вычисления при соблюдении определенного условия. В этом примере мы определим, нужно ли взимать НДС, и вычислим его, если условие соблюдается.
</t>
  </si>
  <si>
    <t>В ячейке F33 мы ввели =ЕСЛИ(E33="Да";F31*НДС;0), где «НДС» — это именованный диапазон со значением 0,0825. Формула означает следующее: если значение в ячейке E33 равно «Да», следует умножить значение в ячейке F31 на НДС, в противном случае вернуть 0.
Выберите «Нет» вместо «Да» в ячейке E33 и посмотрите, как изменится вычисление.</t>
  </si>
  <si>
    <t xml:space="preserve">Затем мы добавим оператор ЕСЛИ, чтобы рассчитать стоимость доставки, если она требуется. В ячейке F35 указана формула =ЕСЛИ(E35="Да";СУММ(D28:D29)*1,25;0). Она означает следующее: если ячейка E35 имеет значение «Да», следует вычислить сумму в столбце «Количество» приведенной выше таблицы и умножить ее на 1,25, в противном случае необходимо вернуть 0.
</t>
  </si>
  <si>
    <t xml:space="preserve">Теперь замените 1,25 в формуле в ячейке F35 словом «Доставка». По мере ввода Excel найдет и предложит вам это значение. Нажмите клавишу TAB, чтобы ввести его. Это именованный диапазон, который мы определили с помощью команды «Формулы» &gt; «Задать имя». Если вам когда-либо потребуется изменить стоимость доставки, вы можете сделать это один раз, а затем использовать имя «Доставка» в любой ячейке книги.
</t>
  </si>
  <si>
    <t>ПОЛЕЗНЫЕ СВЕДЕНИЯ
При создании формулы Excel автоматически выводит цветные границы вокруг диапазонов, на которые она ссылается; при этом цвет границ соответствует цвету диапазона в формуле. Убедитесь в этом сами: выделите ячейку F33 и нажмите клавишу F2, чтобы изменить формулу.</t>
  </si>
  <si>
    <t xml:space="preserve">СОВЕТ ЭКСПЕРТА
Благодаря именованным диапазонам можно определить условия или значения один раз, а затем многократно использовать их в книге. Чтобы просмотреть все именованные диапазоны в книге, выберите «Формулы» &gt; «Диспетчер имен». Щелкните здесь, чтобы узнать больше.
</t>
  </si>
  <si>
    <t>Все о функции ЕСЛИ</t>
  </si>
  <si>
    <t>Все о функции ЕСЛИМН</t>
  </si>
  <si>
    <t>Сложные операторы ЕСЛИ</t>
  </si>
  <si>
    <t>Яблоко</t>
  </si>
  <si>
    <t>Апельсин</t>
  </si>
  <si>
    <t>Вилка</t>
  </si>
  <si>
    <t>Ложка</t>
  </si>
  <si>
    <t>Промежуточный итог</t>
  </si>
  <si>
    <t>НДС?</t>
  </si>
  <si>
    <t>Доставка?</t>
  </si>
  <si>
    <t>Итого</t>
  </si>
  <si>
    <t>Стоимость</t>
  </si>
  <si>
    <t>Да</t>
  </si>
  <si>
    <t>ВПР</t>
  </si>
  <si>
    <t xml:space="preserve">ВПР — одна из самых популярных (и наших любимых!) функций Excel. Она позволяет найти значение в столбце слева, а затем вернуть данные из другого столбца справа. У функции ВПР следующий синтаксис:
</t>
  </si>
  <si>
    <t>=ВПР(A1;B:C;2;ЛОЖЬ)</t>
  </si>
  <si>
    <t>Что нужно найти?</t>
  </si>
  <si>
    <t>Из какого столбца справа нужно получить значение?</t>
  </si>
  <si>
    <t>Где нужно найти значение?</t>
  </si>
  <si>
    <t>Может ли совпадение быть неточным?</t>
  </si>
  <si>
    <t xml:space="preserve">В ячейке D22 введите =ВПР(C22;C17:D20;2;ЛОЖЬ). Правильный ответ для значения «Яблоки» — 50. Функция ВПР нашла значение «Яблоки», а затем вернула количество, указанное в столбце справа от него.
</t>
  </si>
  <si>
    <t xml:space="preserve">Теперь попробуйте самостоятельно ввести формулу для таблицы «Мясо» в ячейку G22. Вы должны получить формулу =ВПР(F22;F17:G20;2;ЛОЖЬ).
</t>
  </si>
  <si>
    <t>ЭКСПЕРИМЕНТ
Попробуйте выбрать другие элементы из раскрывающихся списков. Значения в ячейках результатов мгновенно обновятся.</t>
  </si>
  <si>
    <t>ВПР и #Н/Д</t>
  </si>
  <si>
    <t xml:space="preserve">Рано или поздно вы столкнетесь с тем, что функция ВПР не сможет найти требуемое значение и вернет ошибку #Н/Д. Это может произойти потому, что искомое значение не существует или ячейка, указывающая на него, пуста.
</t>
  </si>
  <si>
    <t xml:space="preserve">Если вы не уверены в том, что искомое значение существует, но не хотите, чтобы выводилась ошибка #Н/Д, вы можете использовать в ячейке G43 специальную функцию ЕСЛИОШИБКА: =ЕСЛИОШИБКА(ВПР(F43;F37:G41;2;ЛОЖЬ);""). Если функция ВПР возвращает действительный результат, он будет выведен; в противном случае не отображается ничего (""). Кроме того, вы можете вывести определенное число (0, 1, 2 и т. д.) или текстовое значение, например "Неправильная формула".
</t>
  </si>
  <si>
    <t>ВАЖНО
Функция ЕСЛИОШИБКА является глобальным обработчиком ошибок, то есть подавляет любые ошибки в формуле. Это может привести к проблемам, если в формуле есть ошибка, которую следовало бы исправить.
Не добавляйте обработчики ошибок в формулы, пока не будете абсолютно уверены в том, что они работают правильно.</t>
  </si>
  <si>
    <t>Все о функции ВПР</t>
  </si>
  <si>
    <t>Все о функциях ИНДЕКС и ПОИСКПОЗ</t>
  </si>
  <si>
    <t>Все о функции ЕСЛИОШИБКА</t>
  </si>
  <si>
    <t>Использование сводных таблиц для анализа данных</t>
  </si>
  <si>
    <t>Если бы функция СУММ в ячейке D42 могла говорить, вот что бы она сказала: просуммируйте значения в ячейках D38, D39, D40 и D41.</t>
  </si>
  <si>
    <t>Выпечка</t>
  </si>
  <si>
    <t>Условные функции: СУММЕСЛИ</t>
  </si>
  <si>
    <t>Условные функции позволяют определять сумму, среднее, количество значений, минимум и максимум в диапазоне с учетом указанного условия. Например, можно определить, сколько в списке фруктов яблок или апельсинов сорта Florida.</t>
  </si>
  <si>
    <t>Функция СУММЕСЛИ позволяет вычислить сумму в одном диапазоне с учетом условия, соответствие которому определяется по другому диапазону. Например, так можно определить общее количество яблок. Выберите ячейку D17 и введите =СУММЕСЛИ(C3:C14;C17;D3:D14). Функция СУММЕСЛИ имеет следующий синтаксис:</t>
  </si>
  <si>
    <t>В каком диапазоне нужно найти значение?</t>
  </si>
  <si>
    <t>Какое значение (текстовое или числовое) нужно найти?</t>
  </si>
  <si>
    <t>В каком диапазоне нужно просуммировать соответствующие значения?</t>
  </si>
  <si>
    <t xml:space="preserve">Функция СУММЕСЛИМН похожа на функцию СУММЕСЛИ, но позволяет задавать несколько условий. Например, в этом примере можно искать значения по столбцам «Фрукт» и «Сорт», а не только по столбцу «Фрукт». Выберите ячейку H17 и введите =СУММЕСЛИМН(H3:H14;F3:F14;F17;G3:G14;G17). Функция СУММЕСЛИМН имеет следующий синтаксис:
</t>
  </si>
  <si>
    <t>=СУММЕСЛИМН(H3:H14;F3:F14;F17;G3:G14;G17)</t>
  </si>
  <si>
    <t>В каком диапазоне нужно просуммировать значения?</t>
  </si>
  <si>
    <t>Первый диапазон для поиска соответствующих значений</t>
  </si>
  <si>
    <t>Первое условие</t>
  </si>
  <si>
    <t>Второй диапазон для поиска соответствующих значений</t>
  </si>
  <si>
    <t>Второе условие</t>
  </si>
  <si>
    <t>СОВЕТ ЭКСПЕРТА
В ячейках «Фрукт» и «Сорт» есть раскрывающееся списки, в которых можно выбрать различные фрукты. Попробуйте сделать это и обратите внимание на то, как формулы автоматически обновляются.</t>
  </si>
  <si>
    <t>Функции СЧЁТЕСЛИ и СЧЁТЕСЛИМН позволяют подсчитать значения в диапазоне с учетом указанных условий. Они отличаются от функций ЕСЛИ и ЕСЛИМН тем, что у них есть только условия и диапазон, в котором они проверяются. Они не суммируют значения в одном диапазоне после проверки значений в другом.</t>
  </si>
  <si>
    <t>=СЧЁТЕСЛИ(C50:C61;C64)</t>
  </si>
  <si>
    <t>=СЧЁТЕСЛИМН(F50:F61;F64;G50:G61;G64)</t>
  </si>
  <si>
    <t>Первый диапазон для подсчета значений</t>
  </si>
  <si>
    <t>Второй диапазон для подсчета значений</t>
  </si>
  <si>
    <t>Другие условные функции</t>
  </si>
  <si>
    <t xml:space="preserve">Вы уже знакомы с функциями СУММЕСЛИ, СУММЕСЛИМН, СЧЁТЕСЛИ и СЧЁТЕСЛИМН. Теперь попробуйте самостоятельно изучить другие функции, например СРЗНАЧЕСЛИ, СРЗНАЧЕСЛИМН, МАКСЕСЛИМН или МИНЕСЛИМН. Все они имеют одинаковый синтаксис, поэтому если у вас уже есть формула, вы можете просто заменить в ней название функции. Ниже вы найдете все функции, которые можно использовать в ячейке E106. Вы можете скопировать и вставить их или попытаться ввести их самостоятельно, чтобы лучше запомнить.
СУММЕСЛИ 	=СУММЕСЛИ(C92:C103;C106;E92:E103) 
СУММЕСЛИМН 	=СУММЕСЛИМН(E92:E103;C92:C103;C106;D92:D103;D106) 
СРЗНАЧЕСЛИ 	=СРЗНАЧЕСЛИ(C92:C103;C106;E92:E103) 
СРЗНАЧЕСЛИМН	=СРЗНАЧЕСЛИМН(E92:E103;C92:C103;C106;D92:D92;D106)
СЧЁТЕСЛИ 	=СЧЁТЕСЛИ(C92:C103;C106)
СЧЁТЕСЛИМН 	=СЧЁТЕСЛИМН(C92:C103;C106;D92:D103;D106) 
МАКСЕСЛИМН 	=МАКСЕСЛИМН(E92:E103;C92:C103;C106;D92:D103;D106)
МИНЕСЛИМН 	=МИНЕСЛИМН(E92:E103;C92:C103;C106;D92:D103;D106)
</t>
  </si>
  <si>
    <t>Функция СУММЕСЛИ с аргументом значения</t>
  </si>
  <si>
    <t>Вот пример использования функции СУММЕСЛИ с оператором «больше» (&gt;) для поиска всех значений, превышающих указанное:</t>
  </si>
  <si>
    <t xml:space="preserve">=СУММЕСЛИ(D118:D122;"&gt;50")
</t>
  </si>
  <si>
    <t>Сложить значения с учетом этого условия:</t>
  </si>
  <si>
    <t>Просмотреть эти ячейки:
 </t>
  </si>
  <si>
    <t>Если значение больше 50, добавить его в сумму.
 </t>
  </si>
  <si>
    <t>ПРИМЕЧАНИЕ. Если вы часто применяете условные формулы, возможно, стоит воспользоваться сводной таблицей. Дополнительные сведения см. в статье о сводных таблицах.</t>
  </si>
  <si>
    <t>Все о функции СУММЕСЛИМН</t>
  </si>
  <si>
    <t>Все о функции СЧЁТЕСЛИ</t>
  </si>
  <si>
    <t>Все о функции СЧЁТЕСЛИМН</t>
  </si>
  <si>
    <t>Все о функции СРЗНАЧЕСЛИ</t>
  </si>
  <si>
    <t>Все о функции СРЗНАЧЕСЛИМН</t>
  </si>
  <si>
    <t>Все о функции МИНЕСЛИМН</t>
  </si>
  <si>
    <t>Все о функции МАКСЕСЛИМН</t>
  </si>
  <si>
    <t>Создание раскрывающегося списка</t>
  </si>
  <si>
    <t>Наименование</t>
  </si>
  <si>
    <t>СУММЕСЛИ</t>
  </si>
  <si>
    <t>СЧЁТЕСЛИ</t>
  </si>
  <si>
    <t>Сорт</t>
  </si>
  <si>
    <t>Fuji</t>
  </si>
  <si>
    <t>Florida</t>
  </si>
  <si>
    <t>Cavendish</t>
  </si>
  <si>
    <t>Rough</t>
  </si>
  <si>
    <t>Honeycrisp</t>
  </si>
  <si>
    <t>Navel</t>
  </si>
  <si>
    <t>Lady Finger</t>
  </si>
  <si>
    <t>Eureka</t>
  </si>
  <si>
    <t>Попробуйте сами</t>
  </si>
  <si>
    <t>СУММЕСЛИМН</t>
  </si>
  <si>
    <t>СЧЁТЕСЛИМН</t>
  </si>
  <si>
    <t>Используйте мастер функций</t>
  </si>
  <si>
    <t xml:space="preserve">Если вы знаете имя функции, но не помните, как ее вводить, воспользуйтесь мастером функций.
</t>
  </si>
  <si>
    <t xml:space="preserve">Затем вы можете ввести аргументы функции в соответствующие текстовые поля. При вводе каждого аргумента Excel обработает его и покажет результат. Внизу окна выводится окончательный результат. При вводе каждой части формулы условия для каждого аргумента указываются в нижней части формы.  Когда вы закончите работу, нажмите клавишу «ОК», и Excel введет формулу.
</t>
  </si>
  <si>
    <t>ПОПРОБУЙТЕ САМИ!
Вы должны получить формулу =ВПР(C10;C5:D8;2;ЛОЖЬ).</t>
  </si>
  <si>
    <t>ПОЛЕЗНЫЕ СВЕДЕНИЯ
Вы можете ввести ссылки на ячейки и диапазоны или выбрать их с помощью мыши.</t>
  </si>
  <si>
    <t xml:space="preserve">ПОЛЕЗНЫЕ СВЕДЕНИЯ
При вводе каждого аргумента его описание выводится в нижней части формы (над результатом формулы).
</t>
  </si>
  <si>
    <t>Функции Excel (по категориям)</t>
  </si>
  <si>
    <t>Функции Excel (по алфавиту)</t>
  </si>
  <si>
    <t>Исправление ошибок в формулах</t>
  </si>
  <si>
    <t xml:space="preserve">Рано или поздно вам встретится формула с ошибкой, которую Excel обозначает сообщением #ОШИБКА! Ошибки могут быть полезны, так как они указывают на то, что что-то не работает, но иногда их сложно исправить. К счастью, существует несколько решений, которые помогут вам определить причину ошибки и исправить ее.
</t>
  </si>
  <si>
    <t xml:space="preserve">Проверка ошибок: выберите «Формулы» &gt; «Проверка ошибок». Откроется диалоговое окно, в котором указана общая причина ошибки. Ошибка #Н/Д в ячейке D9 вызвана отсутствием значения «Яблоко». Вы можете исправить ошибку, указав существующее значение, скрыть ее, используя функцию ЕСЛИОШИБКА, или проигнорировать ошибку, так как она исчезнет, когда вы введете допустимое значение.
</t>
  </si>
  <si>
    <t xml:space="preserve">Если нажать кнопку «Справка по этой ошибке», откроется раздел справки, посвященный сообщению об ошибке. Если щелкнуть «Показать этапы вычисления», появится диалоговое окно вычисления формулы.
</t>
  </si>
  <si>
    <t xml:space="preserve">При каждом нажатии кнопки «Вычислить» Excel будет обрабатывать одну часть формулы. Даже если Excel не укажет напрямую, в чем ошибка, вы сможете понять, где она возникла. После этого прочтите раздел справки, чтобы понять, что не так с формулой.
</t>
  </si>
  <si>
    <t>ЭКСПЕРИМЕНТ
В чем тут проблема? Подсказка. Мы пытаемся вычислить СУММУ всех чисел.</t>
  </si>
  <si>
    <t xml:space="preserve">ПОЛЕЗНЫЕ СВЕДЕНИЯ
Нажав кнопку «Параметры», можно задать правила отображения или игнорирования ошибок.
</t>
  </si>
  <si>
    <t>Поиск ошибок в формулах</t>
  </si>
  <si>
    <t>Рекомендации, позволяющие избежать появления неработающих формул</t>
  </si>
  <si>
    <t>Вычисление вложенной формулы по шагам</t>
  </si>
  <si>
    <t>Есть еще вопросы об Excel?</t>
  </si>
  <si>
    <t>Это еще не все. Есть чему поучиться с Excel:</t>
  </si>
  <si>
    <t xml:space="preserve">Сообщество: Задавайте вопросы и общайтесь с другими фанатами Excel.
</t>
  </si>
  <si>
    <t xml:space="preserve">Что нового?
Подписчики Office 365 постоянно получают обновления и новые функции.
</t>
  </si>
  <si>
    <t xml:space="preserve">Формулы могут содержать ссылки на ячейки, диапазоны, операторы и константы. Вот примеры формул:
=A1+B1
=10+20
=СУММ(A1:A10)
</t>
  </si>
  <si>
    <t xml:space="preserve">В ячейке D28 введите =ТДАТА(). Эта формула отображает текущее время, которое обновляется при каждом пересчете книги Excel. Если вам нужно изменить формат времени, нажмите клавиши CTRL+1, на вкладке «Число» щелкните «Время» и выберите нужный формат.
</t>
  </si>
  <si>
    <t xml:space="preserve">Чтобы определить количество часов между значениями времени, в ячейке D36 мы ввели формулу =((D35-D32)-(D34-D33))*24, которая вычисляет время начала и окончания работы, а затем вычитает время, затраченное на обед. Операция *24 в конце формулы преобразует дробную часть дня, которая хранится в Excel, в часы. Вам потребуется отформатировать ячейку как число. Чтобы сделать это, откройте вкладку «Главная», нажмите кнопку «Формат» и выберите «Формат ячеек» (или же нажмите клавиши CTRL+1), а затем на вкладке «Число» щелкните «Числовой» и задайте 2 десятичных знака.
</t>
  </si>
  <si>
    <t>Выберите ячейку D64 и введите =СЧЁТЕСЛИ(C50:C61;C64). Функция СЧЁТЕСЛИ имеет следующий синтаксис:</t>
  </si>
  <si>
    <t xml:space="preserve">Выделите ячейку D10, выберите «Формулы» &gt; «Вставить функцию», введите «ВПР» в поле Поиск функции и нажмите кнопку «Найти». Когда функция ВПР будет выделена, нажмите кнопку «ОК» внизу. Когда вы выбираете функцию в списке, Excel отображает ее синтаксис.
</t>
  </si>
  <si>
    <r>
      <t>В ячейке D15 можно воспользоваться A</t>
    </r>
    <r>
      <rPr>
        <b/>
        <sz val="11"/>
        <color theme="0"/>
        <rFont val="Segoe UI"/>
        <family val="2"/>
      </rPr>
      <t>втосумма</t>
    </r>
    <r>
      <rPr>
        <sz val="11"/>
        <color theme="0"/>
        <rFont val="Segoe UI"/>
        <family val="2"/>
      </rPr>
      <t xml:space="preserve"> или же ввести другую функцию </t>
    </r>
    <r>
      <rPr>
        <b/>
        <sz val="11"/>
        <color theme="0"/>
        <rFont val="Segoe UI"/>
        <family val="2"/>
      </rPr>
      <t>СРЗНАЧ</t>
    </r>
    <r>
      <rPr>
        <sz val="11"/>
        <color theme="0"/>
        <rFont val="Segoe UI"/>
        <family val="2"/>
      </rPr>
      <t xml:space="preserve"> от руки. </t>
    </r>
  </si>
  <si>
    <r>
      <t xml:space="preserve">Выберите ячейку D7, а затем добавьте функцию </t>
    </r>
    <r>
      <rPr>
        <b/>
        <sz val="11"/>
        <color theme="0"/>
        <rFont val="Segoe UI"/>
        <family val="2"/>
      </rPr>
      <t>СРЗНАЧ</t>
    </r>
    <r>
      <rPr>
        <sz val="11"/>
        <color theme="0"/>
        <rFont val="Segoe UI"/>
        <family val="2"/>
      </rPr>
      <t xml:space="preserve"> с помощью A</t>
    </r>
    <r>
      <rPr>
        <b/>
        <sz val="11"/>
        <color theme="0"/>
        <rFont val="Segoe UI"/>
        <family val="2"/>
      </rPr>
      <t>втосумма</t>
    </r>
    <r>
      <rPr>
        <sz val="11"/>
        <color theme="0"/>
        <rFont val="Segoe UI"/>
        <family val="2"/>
      </rPr>
      <t>.</t>
    </r>
  </si>
  <si>
    <t>‘=10+20 — это формула, где 10 и 20 — константы, а + — оператор.</t>
  </si>
  <si>
    <t>=СУММ(A1:A10;C1:C10) — это формула, в которой СУММ — это имя функции, в скобках указаны ее аргументы, а A1:A10 и C1:C10— диапазоны ячеек, разделенные точкой с запятой.</t>
  </si>
  <si>
    <t xml:space="preserve">Теперь давайте попробуем использовать Автосумма. Выделите ячейку в таблице «Мясо» (G7), а затем щелкните «Формулы» &gt; «Автосумма» и выберите операцию «Сумма». Excel автоматически введет формулу. Нажмите клавишу ВВОД, чтобы подтвердить ее. Автосумма поддерживает все часто используемые функции.
</t>
  </si>
  <si>
    <t xml:space="preserve">Хм, «КолесниковаНадежда» смотрится не так уж красиво. Нужно добавить пробел. Используем кавычки, чтобы создать новую текстовую строку. Введем =D3&amp;", "&amp;C3. Синтаксис &amp;" ,"&amp; позволяет объединить пробел с текстом в ячейках.
</t>
  </si>
  <si>
    <t xml:space="preserve">В ячейке C37 введите =C29&amp;" "&amp;ТЕКСТ(D29;"ч:мм"). ч:мм — это русский формат времени, например 13:30.
</t>
  </si>
  <si>
    <t xml:space="preserve">Если вы знаете, что искомое значение существует, и хотите скрывать сообщение об ошибке, если ячейка, ссылающаяся на него, пуста, можно использовать оператор ЕСЛИ. При этом формула в ячейке D43 будет выглядеть следующим образом:
=ЕСЛИ(C43="";"";ВПР(C43;C37:D41;2;ЛОЖЬ))
Эта формула означает, что если в ячейке C43 ничего нет (""), возвращается пустое значение, а в противном случае возвращаются результаты функции ВПР. Обратите внимание на вторую круглую скобку в конце формулы. Она закрывает оператор ЕСЛИ.
</t>
  </si>
  <si>
    <t xml:space="preserve">В ячейке C36 введите =C28&amp;" "&amp;ТЕКСТ(D28;"ДД-ММ-ГГГГ"). ДД-ММ-ГГГГ — это русский формат даты, например 23-09-2017.
</t>
  </si>
  <si>
    <t>ПОПРОБУЙТЕ САМИ!
Формулы, особенно длинные, иногда сложно читать. Вы можете разделить их на части пробелами:
=C28 &amp; " " &amp; ТЕКСТ(D28;"ДД-ММ-ГГГГ")</t>
  </si>
  <si>
    <t xml:space="preserve">ВАЖНО
Дважды щелкните эту ячейку. Вы заметите число 100 в конце. Хотя в формулу можно вставлять числа таким образом, делайте это только в исключительных случаях. Это число называется константой, и вы легко можете забыть о его наличии в формуле. Вместо этого рекомендуется включить ссылку на другую ячейку, например F51. Значения, которые не будут скрыты в формуле, гораздо проще найти. </t>
  </si>
  <si>
    <t>ПОПРОБУЙТЕ САМИ! Введите в ячейки C3 и C4 другие числа и посмотрите, как автоматически изменятся результаты формулы.</t>
  </si>
  <si>
    <t xml:space="preserve">Функция СЧЁТЕСЛИМН похожа на функцию СЧЁТЕСЛИ, но позволяет задавать несколько условий. Например, в этом примере можно искать значения по столбцам «Фрукт» и «Сорт», а не только по столбцу «Фрукт». Выберите ячейку H64 и введите =СЧЁТЕСЛИМН(F50:F61;F64;G50:G61;G64). Функция СЧЁТЕСЛИМН имеет следующий синтаксис:
</t>
  </si>
  <si>
    <t>Попробуем еще один пример. Взгляните на формулу в ячейке D12: =ЕСЛИ(C12&lt;100;"Меньше 100";"100 или больше"). Что произойдет, если в ячейку C12 ввести 100 или число больше 100</t>
  </si>
  <si>
    <t>Нажмите клавиши ALT+X и введите свой запрос.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</si>
</sst>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:mm;@"/>
    <numFmt numFmtId="165" formatCode="#,##0.00\ [$₽-419];[Red]\-#,##0.00\ [$₽-419]"/>
    <numFmt numFmtId="166" formatCode="dd/mm/yy;@"/>
  </numFmts>
  <fonts count="36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B744D"/>
      <name val="Calibri"/>
      <family val="2"/>
      <scheme val="minor"/>
    </font>
    <font>
      <sz val="11"/>
      <color theme="1"/>
      <name val="Calibri"/>
      <family val="2"/>
      <scheme val="minor"/>
    </font>
    <font>
      <sz val="72"/>
      <color theme="0"/>
      <name val="Calibri Light"/>
      <family val="2"/>
      <scheme val="major"/>
    </font>
    <font>
      <sz val="17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0404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404040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sz val="10"/>
      <color theme="1"/>
      <name val="Calibri"/>
      <family val="2"/>
      <scheme val="minor"/>
    </font>
    <font>
      <sz val="10"/>
      <color theme="0"/>
      <name val="Segoe UI"/>
      <family val="2"/>
    </font>
    <font>
      <b/>
      <sz val="11"/>
      <color theme="0"/>
      <name val="Calibri"/>
      <family val="2"/>
      <scheme val="minor"/>
    </font>
    <font>
      <sz val="12"/>
      <color theme="1"/>
      <name val="Segoe UI"/>
      <family val="2"/>
    </font>
    <font>
      <sz val="24"/>
      <color theme="1"/>
      <name val="Segoe UI"/>
      <family val="2"/>
    </font>
    <font>
      <u/>
      <sz val="11"/>
      <color theme="10"/>
      <name val="Calibri"/>
      <family val="2"/>
    </font>
    <font>
      <sz val="20"/>
      <color rgb="FF000000"/>
      <name val="Courier New"/>
      <family val="3"/>
    </font>
    <font>
      <sz val="54"/>
      <color theme="0"/>
      <name val="Segoe UI"/>
      <family val="2"/>
    </font>
    <font>
      <sz val="22"/>
      <color rgb="FF3B3838"/>
      <name val="Segoe UI Light"/>
      <family val="2"/>
    </font>
    <font>
      <sz val="11"/>
      <color theme="0"/>
      <name val="Calibri"/>
      <family val="2"/>
      <scheme val="minor"/>
    </font>
    <font>
      <sz val="26"/>
      <color theme="2" tint="-0.749992370372631"/>
      <name val="Calibri"/>
      <family val="2"/>
      <scheme val="minor"/>
    </font>
    <font>
      <sz val="22"/>
      <color rgb="FF3B3838"/>
      <name val="Segoe UI Light"/>
      <family val="2"/>
    </font>
    <font>
      <sz val="11"/>
      <color theme="1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b/>
      <sz val="11"/>
      <color theme="4"/>
      <name val="Segoe UI Black"/>
      <family val="2"/>
    </font>
  </fonts>
  <fills count="7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rgb="FFF4B183"/>
      </left>
      <right style="thick">
        <color rgb="FFF4B183"/>
      </right>
      <top style="thick">
        <color rgb="FFF4B183"/>
      </top>
      <bottom style="thick">
        <color rgb="FFF4B183"/>
      </bottom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ck">
        <color rgb="FFF4B183"/>
      </right>
      <top style="thick">
        <color rgb="FFF4B183"/>
      </top>
      <bottom style="thick">
        <color rgb="FFF4B183"/>
      </bottom>
      <diagonal/>
    </border>
  </borders>
  <cellStyleXfs count="20">
    <xf numFmtId="0" fontId="0" fillId="0" borderId="0"/>
    <xf numFmtId="0" fontId="4" fillId="0" borderId="0" applyFill="0" applyBorder="0">
      <alignment wrapText="1"/>
    </xf>
    <xf numFmtId="0" fontId="5" fillId="0" borderId="0"/>
    <xf numFmtId="0" fontId="6" fillId="2" borderId="0" applyNumberFormat="0" applyBorder="0" applyProtection="0">
      <alignment horizontal="left" indent="1"/>
    </xf>
    <xf numFmtId="0" fontId="7" fillId="2" borderId="0" applyNumberFormat="0" applyProtection="0">
      <alignment horizontal="left" wrapText="1" indent="4"/>
    </xf>
    <xf numFmtId="0" fontId="4" fillId="2" borderId="0" applyNumberFormat="0" applyProtection="0">
      <alignment horizontal="left" wrapText="1" indent="4"/>
    </xf>
    <xf numFmtId="0" fontId="8" fillId="0" borderId="0"/>
    <xf numFmtId="0" fontId="8" fillId="3" borderId="0" applyNumberFormat="0" applyBorder="0" applyProtection="0"/>
    <xf numFmtId="0" fontId="5" fillId="4" borderId="0"/>
    <xf numFmtId="0" fontId="5" fillId="5" borderId="1"/>
    <xf numFmtId="0" fontId="5" fillId="4" borderId="2"/>
    <xf numFmtId="0" fontId="3" fillId="0" borderId="0"/>
    <xf numFmtId="0" fontId="3" fillId="4" borderId="0"/>
    <xf numFmtId="0" fontId="3" fillId="5" borderId="1"/>
    <xf numFmtId="0" fontId="3" fillId="4" borderId="2"/>
    <xf numFmtId="0" fontId="2" fillId="0" borderId="0"/>
    <xf numFmtId="0" fontId="23" fillId="0" borderId="0" applyNumberFormat="0" applyFill="0" applyBorder="0" applyAlignment="0" applyProtection="0"/>
    <xf numFmtId="0" fontId="1" fillId="4" borderId="0"/>
    <xf numFmtId="0" fontId="1" fillId="5" borderId="1"/>
    <xf numFmtId="0" fontId="1" fillId="4" borderId="2"/>
  </cellStyleXfs>
  <cellXfs count="142">
    <xf numFmtId="0" fontId="0" fillId="0" borderId="0" xfId="0"/>
    <xf numFmtId="0" fontId="5" fillId="0" borderId="0" xfId="2"/>
    <xf numFmtId="0" fontId="7" fillId="2" borderId="0" xfId="4">
      <alignment horizontal="left" wrapText="1" indent="4"/>
    </xf>
    <xf numFmtId="0" fontId="4" fillId="2" borderId="0" xfId="5">
      <alignment horizontal="left" wrapText="1" indent="4"/>
    </xf>
    <xf numFmtId="0" fontId="5" fillId="0" borderId="0" xfId="2" applyFont="1" applyAlignment="1"/>
    <xf numFmtId="0" fontId="5" fillId="0" borderId="0" xfId="2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0" fontId="8" fillId="3" borderId="0" xfId="7" applyFont="1"/>
    <xf numFmtId="0" fontId="8" fillId="3" borderId="0" xfId="7" applyFont="1" applyAlignment="1">
      <alignment horizontal="right"/>
    </xf>
    <xf numFmtId="0" fontId="8" fillId="0" borderId="0" xfId="6" applyFont="1"/>
    <xf numFmtId="0" fontId="10" fillId="0" borderId="0" xfId="2" applyFont="1" applyAlignment="1">
      <alignment horizontal="left"/>
    </xf>
    <xf numFmtId="0" fontId="8" fillId="3" borderId="0" xfId="7" applyFont="1" applyAlignment="1">
      <alignment horizontal="left"/>
    </xf>
    <xf numFmtId="14" fontId="0" fillId="0" borderId="0" xfId="0" applyNumberFormat="1"/>
    <xf numFmtId="0" fontId="8" fillId="3" borderId="0" xfId="7"/>
    <xf numFmtId="0" fontId="3" fillId="4" borderId="0" xfId="12"/>
    <xf numFmtId="0" fontId="11" fillId="0" borderId="0" xfId="2" applyFont="1" applyAlignment="1"/>
    <xf numFmtId="0" fontId="11" fillId="0" borderId="0" xfId="2" applyFont="1" applyAlignment="1">
      <alignment wrapText="1"/>
    </xf>
    <xf numFmtId="0" fontId="11" fillId="0" borderId="0" xfId="0" applyFont="1"/>
    <xf numFmtId="0" fontId="11" fillId="0" borderId="0" xfId="2" applyFont="1" applyAlignment="1">
      <alignment horizontal="left"/>
    </xf>
    <xf numFmtId="0" fontId="11" fillId="0" borderId="0" xfId="6" applyFont="1"/>
    <xf numFmtId="0" fontId="12" fillId="0" borderId="0" xfId="0" applyFont="1"/>
    <xf numFmtId="0" fontId="13" fillId="0" borderId="0" xfId="2" applyFont="1" applyAlignment="1"/>
    <xf numFmtId="0" fontId="15" fillId="0" borderId="0" xfId="0" applyFont="1"/>
    <xf numFmtId="0" fontId="13" fillId="0" borderId="0" xfId="2" applyFont="1" applyAlignment="1">
      <alignment horizontal="left"/>
    </xf>
    <xf numFmtId="0" fontId="16" fillId="0" borderId="0" xfId="0" applyFont="1"/>
    <xf numFmtId="0" fontId="14" fillId="0" borderId="0" xfId="6" applyFont="1"/>
    <xf numFmtId="0" fontId="10" fillId="0" borderId="0" xfId="2" applyFont="1" applyAlignment="1">
      <alignment horizontal="right"/>
    </xf>
    <xf numFmtId="0" fontId="8" fillId="0" borderId="0" xfId="2" applyFont="1" applyAlignment="1">
      <alignment horizontal="left"/>
    </xf>
    <xf numFmtId="0" fontId="18" fillId="0" borderId="0" xfId="2" applyFont="1" applyAlignment="1">
      <alignment horizontal="left"/>
    </xf>
    <xf numFmtId="0" fontId="19" fillId="0" borderId="0" xfId="0" applyFont="1"/>
    <xf numFmtId="0" fontId="17" fillId="0" borderId="0" xfId="0" applyFont="1"/>
    <xf numFmtId="0" fontId="17" fillId="0" borderId="0" xfId="0" quotePrefix="1" applyFont="1"/>
    <xf numFmtId="0" fontId="17" fillId="0" borderId="0" xfId="0" applyFont="1" applyAlignment="1">
      <alignment wrapText="1"/>
    </xf>
    <xf numFmtId="0" fontId="20" fillId="3" borderId="0" xfId="7" applyFont="1" applyAlignment="1">
      <alignment horizontal="centerContinuous"/>
    </xf>
    <xf numFmtId="0" fontId="17" fillId="0" borderId="0" xfId="0" applyFont="1" applyAlignment="1"/>
    <xf numFmtId="0" fontId="20" fillId="3" borderId="0" xfId="7" applyFont="1" applyAlignment="1">
      <alignment horizontal="left"/>
    </xf>
    <xf numFmtId="0" fontId="20" fillId="3" borderId="0" xfId="7" applyFont="1" applyAlignment="1">
      <alignment horizontal="right"/>
    </xf>
    <xf numFmtId="0" fontId="20" fillId="3" borderId="0" xfId="7" applyFont="1" applyAlignment="1">
      <alignment horizontal="centerContinuous" vertical="center"/>
    </xf>
    <xf numFmtId="0" fontId="0" fillId="0" borderId="0" xfId="0" applyAlignment="1">
      <alignment vertical="center"/>
    </xf>
    <xf numFmtId="0" fontId="20" fillId="3" borderId="0" xfId="7" applyFont="1"/>
    <xf numFmtId="0" fontId="8" fillId="0" borderId="0" xfId="6"/>
    <xf numFmtId="0" fontId="2" fillId="0" borderId="0" xfId="15"/>
    <xf numFmtId="0" fontId="21" fillId="0" borderId="0" xfId="15" applyFont="1"/>
    <xf numFmtId="0" fontId="22" fillId="0" borderId="0" xfId="15" applyFont="1"/>
    <xf numFmtId="0" fontId="22" fillId="0" borderId="0" xfId="15" applyFont="1" applyAlignment="1">
      <alignment vertical="center"/>
    </xf>
    <xf numFmtId="0" fontId="2" fillId="0" borderId="0" xfId="2" applyFont="1" applyAlignment="1"/>
    <xf numFmtId="0" fontId="2" fillId="0" borderId="0" xfId="2" applyFont="1" applyAlignment="1">
      <alignment horizontal="left"/>
    </xf>
    <xf numFmtId="0" fontId="2" fillId="0" borderId="0" xfId="2" applyFont="1" applyAlignment="1">
      <alignment horizontal="right"/>
    </xf>
    <xf numFmtId="0" fontId="2" fillId="4" borderId="0" xfId="8" applyFont="1"/>
    <xf numFmtId="0" fontId="2" fillId="4" borderId="0" xfId="8" applyFont="1" applyAlignment="1">
      <alignment horizontal="right"/>
    </xf>
    <xf numFmtId="0" fontId="2" fillId="5" borderId="1" xfId="9" applyFont="1" applyAlignment="1">
      <alignment horizontal="right"/>
    </xf>
    <xf numFmtId="0" fontId="2" fillId="0" borderId="0" xfId="2" applyFont="1"/>
    <xf numFmtId="0" fontId="9" fillId="0" borderId="0" xfId="0" applyFont="1" applyAlignment="1">
      <alignment horizontal="center"/>
    </xf>
    <xf numFmtId="0" fontId="2" fillId="0" borderId="0" xfId="2" applyFont="1" applyAlignment="1">
      <alignment horizontal="left" indent="1"/>
    </xf>
    <xf numFmtId="0" fontId="9" fillId="0" borderId="0" xfId="0" applyFont="1" applyAlignment="1">
      <alignment horizontal="left" indent="2"/>
    </xf>
    <xf numFmtId="0" fontId="2" fillId="4" borderId="2" xfId="10" applyFont="1"/>
    <xf numFmtId="0" fontId="2" fillId="5" borderId="1" xfId="9" applyFont="1" applyAlignment="1">
      <alignment horizontal="right" vertical="center"/>
    </xf>
    <xf numFmtId="0" fontId="2" fillId="0" borderId="0" xfId="2" applyFont="1" applyAlignment="1">
      <alignment horizontal="center"/>
    </xf>
    <xf numFmtId="0" fontId="2" fillId="0" borderId="0" xfId="2" quotePrefix="1" applyFont="1" applyAlignment="1">
      <alignment horizontal="left"/>
    </xf>
    <xf numFmtId="0" fontId="2" fillId="0" borderId="0" xfId="2" applyFont="1" applyAlignment="1">
      <alignment horizontal="left" indent="2"/>
    </xf>
    <xf numFmtId="0" fontId="2" fillId="0" borderId="0" xfId="11" applyFont="1" applyAlignment="1">
      <alignment horizontal="left" indent="1"/>
    </xf>
    <xf numFmtId="0" fontId="2" fillId="4" borderId="2" xfId="14" applyFont="1"/>
    <xf numFmtId="0" fontId="2" fillId="4" borderId="2" xfId="10" applyFont="1" applyAlignment="1">
      <alignment horizontal="center" vertical="center"/>
    </xf>
    <xf numFmtId="0" fontId="2" fillId="4" borderId="2" xfId="10" applyFont="1" applyAlignment="1">
      <alignment horizontal="left"/>
    </xf>
    <xf numFmtId="0" fontId="5" fillId="5" borderId="1" xfId="9"/>
    <xf numFmtId="0" fontId="0" fillId="0" borderId="3" xfId="0" applyFont="1" applyBorder="1" applyAlignment="1">
      <alignment vertical="center"/>
    </xf>
    <xf numFmtId="0" fontId="1" fillId="5" borderId="1" xfId="18" applyFont="1"/>
    <xf numFmtId="0" fontId="24" fillId="0" borderId="0" xfId="0" applyFont="1"/>
    <xf numFmtId="0" fontId="1" fillId="4" borderId="0" xfId="17"/>
    <xf numFmtId="0" fontId="23" fillId="0" borderId="0" xfId="16" applyFont="1"/>
    <xf numFmtId="0" fontId="16" fillId="0" borderId="0" xfId="0" applyFont="1" applyFill="1"/>
    <xf numFmtId="0" fontId="25" fillId="2" borderId="0" xfId="3" applyFont="1" applyAlignment="1">
      <alignment horizontal="left" indent="1"/>
    </xf>
    <xf numFmtId="0" fontId="20" fillId="3" borderId="4" xfId="7" applyFont="1" applyFill="1" applyBorder="1" applyAlignment="1">
      <alignment horizontal="left" vertical="center"/>
    </xf>
    <xf numFmtId="0" fontId="20" fillId="3" borderId="4" xfId="7" applyFont="1" applyFill="1" applyBorder="1" applyAlignment="1">
      <alignment horizontal="right" vertical="center"/>
    </xf>
    <xf numFmtId="0" fontId="0" fillId="6" borderId="4" xfId="0" applyFont="1" applyFill="1" applyBorder="1" applyAlignment="1">
      <alignment vertical="center"/>
    </xf>
    <xf numFmtId="0" fontId="26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/>
    </xf>
    <xf numFmtId="0" fontId="8" fillId="3" borderId="0" xfId="7" applyFont="1" applyAlignment="1">
      <alignment horizontal="center" vertical="center"/>
    </xf>
    <xf numFmtId="0" fontId="27" fillId="0" borderId="0" xfId="6" applyFont="1"/>
    <xf numFmtId="0" fontId="28" fillId="0" borderId="0" xfId="11" applyFont="1" applyAlignment="1"/>
    <xf numFmtId="0" fontId="29" fillId="0" borderId="0" xfId="0" applyFont="1" applyAlignment="1">
      <alignment horizontal="centerContinuous" vertical="center"/>
    </xf>
    <xf numFmtId="0" fontId="30" fillId="0" borderId="0" xfId="11" applyFont="1" applyAlignment="1">
      <alignment horizontal="centerContinuous"/>
    </xf>
    <xf numFmtId="0" fontId="30" fillId="0" borderId="0" xfId="11" applyFont="1" applyAlignment="1"/>
    <xf numFmtId="0" fontId="27" fillId="3" borderId="0" xfId="7" applyFont="1"/>
    <xf numFmtId="0" fontId="27" fillId="3" borderId="0" xfId="7" applyFont="1" applyAlignment="1">
      <alignment horizontal="right"/>
    </xf>
    <xf numFmtId="0" fontId="31" fillId="0" borderId="0" xfId="11" applyFont="1" applyAlignment="1"/>
    <xf numFmtId="0" fontId="30" fillId="0" borderId="0" xfId="11" applyFont="1" applyAlignment="1">
      <alignment horizontal="left"/>
    </xf>
    <xf numFmtId="0" fontId="31" fillId="0" borderId="0" xfId="11" applyFont="1" applyAlignment="1">
      <alignment horizontal="left"/>
    </xf>
    <xf numFmtId="0" fontId="32" fillId="0" borderId="0" xfId="0" applyFont="1"/>
    <xf numFmtId="0" fontId="33" fillId="0" borderId="0" xfId="0" applyFont="1"/>
    <xf numFmtId="0" fontId="30" fillId="4" borderId="2" xfId="14" applyFont="1"/>
    <xf numFmtId="0" fontId="30" fillId="0" borderId="0" xfId="11" applyFont="1"/>
    <xf numFmtId="0" fontId="30" fillId="5" borderId="1" xfId="13" applyFont="1" applyAlignment="1">
      <alignment horizontal="right"/>
    </xf>
    <xf numFmtId="0" fontId="2" fillId="0" borderId="0" xfId="2" applyFont="1" applyAlignment="1">
      <alignment horizontal="centerContinuous"/>
    </xf>
    <xf numFmtId="0" fontId="0" fillId="0" borderId="0" xfId="0" applyAlignment="1">
      <alignment horizontal="centerContinuous"/>
    </xf>
    <xf numFmtId="0" fontId="8" fillId="0" borderId="0" xfId="6" applyFont="1" applyAlignment="1">
      <alignment horizontal="centerContinuous"/>
    </xf>
    <xf numFmtId="0" fontId="5" fillId="4" borderId="2" xfId="10"/>
    <xf numFmtId="0" fontId="1" fillId="4" borderId="2" xfId="10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8" fillId="0" borderId="0" xfId="2" applyFont="1" applyAlignment="1">
      <alignment horizontal="left" wrapText="1"/>
    </xf>
    <xf numFmtId="0" fontId="11" fillId="0" borderId="0" xfId="0" applyFont="1" applyAlignment="1">
      <alignment wrapText="1"/>
    </xf>
    <xf numFmtId="0" fontId="11" fillId="0" borderId="0" xfId="2" applyFont="1" applyAlignment="1">
      <alignment horizontal="left" wrapText="1"/>
    </xf>
    <xf numFmtId="0" fontId="35" fillId="0" borderId="0" xfId="0" applyFont="1"/>
    <xf numFmtId="0" fontId="29" fillId="0" borderId="0" xfId="0" applyFont="1" applyAlignment="1">
      <alignment horizontal="center" vertical="center"/>
    </xf>
    <xf numFmtId="0" fontId="0" fillId="0" borderId="0" xfId="0" applyAlignment="1"/>
    <xf numFmtId="0" fontId="29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8" fillId="0" borderId="0" xfId="6" applyFont="1" applyAlignment="1">
      <alignment wrapText="1"/>
    </xf>
    <xf numFmtId="0" fontId="1" fillId="5" borderId="5" xfId="18" applyFont="1" applyBorder="1"/>
    <xf numFmtId="0" fontId="1" fillId="4" borderId="6" xfId="17" applyFont="1" applyBorder="1" applyAlignment="1">
      <alignment horizontal="left"/>
    </xf>
    <xf numFmtId="0" fontId="5" fillId="4" borderId="6" xfId="8" applyBorder="1"/>
    <xf numFmtId="0" fontId="3" fillId="4" borderId="2" xfId="14"/>
    <xf numFmtId="0" fontId="30" fillId="5" borderId="7" xfId="13" applyFont="1" applyBorder="1"/>
    <xf numFmtId="0" fontId="30" fillId="4" borderId="6" xfId="12" applyFont="1" applyBorder="1"/>
    <xf numFmtId="0" fontId="30" fillId="4" borderId="8" xfId="12" applyFont="1" applyBorder="1"/>
    <xf numFmtId="0" fontId="3" fillId="5" borderId="10" xfId="13" applyBorder="1"/>
    <xf numFmtId="0" fontId="2" fillId="5" borderId="7" xfId="9" applyFont="1" applyBorder="1" applyAlignment="1">
      <alignment horizontal="right"/>
    </xf>
    <xf numFmtId="0" fontId="2" fillId="4" borderId="6" xfId="8" applyFont="1" applyBorder="1"/>
    <xf numFmtId="0" fontId="2" fillId="4" borderId="6" xfId="8" applyFont="1" applyBorder="1" applyAlignment="1">
      <alignment horizontal="right"/>
    </xf>
    <xf numFmtId="0" fontId="2" fillId="4" borderId="6" xfId="8" applyFont="1" applyBorder="1" applyAlignment="1">
      <alignment horizontal="left"/>
    </xf>
    <xf numFmtId="0" fontId="5" fillId="4" borderId="11" xfId="10" applyBorder="1"/>
    <xf numFmtId="0" fontId="5" fillId="5" borderId="10" xfId="9" applyBorder="1"/>
    <xf numFmtId="0" fontId="1" fillId="4" borderId="6" xfId="8" applyFont="1" applyBorder="1"/>
    <xf numFmtId="0" fontId="5" fillId="4" borderId="1" xfId="8" applyBorder="1"/>
    <xf numFmtId="0" fontId="10" fillId="0" borderId="9" xfId="11" applyFont="1" applyBorder="1" applyAlignment="1">
      <alignment horizontal="left"/>
    </xf>
    <xf numFmtId="0" fontId="30" fillId="5" borderId="1" xfId="13" applyFont="1" applyAlignment="1"/>
    <xf numFmtId="0" fontId="2" fillId="5" borderId="1" xfId="9" applyNumberFormat="1" applyFont="1" applyAlignment="1">
      <alignment horizontal="right" vertical="center"/>
    </xf>
    <xf numFmtId="164" fontId="2" fillId="5" borderId="10" xfId="9" applyNumberFormat="1" applyFont="1" applyBorder="1" applyAlignment="1">
      <alignment horizontal="right"/>
    </xf>
    <xf numFmtId="164" fontId="5" fillId="5" borderId="10" xfId="9" applyNumberFormat="1" applyBorder="1"/>
    <xf numFmtId="164" fontId="5" fillId="4" borderId="6" xfId="8" applyNumberFormat="1" applyBorder="1"/>
    <xf numFmtId="165" fontId="0" fillId="6" borderId="4" xfId="0" applyNumberFormat="1" applyFont="1" applyFill="1" applyBorder="1" applyAlignment="1">
      <alignment vertical="center"/>
    </xf>
    <xf numFmtId="165" fontId="0" fillId="0" borderId="3" xfId="0" applyNumberFormat="1" applyFont="1" applyBorder="1" applyAlignment="1">
      <alignment vertical="center"/>
    </xf>
    <xf numFmtId="165" fontId="0" fillId="0" borderId="0" xfId="0" applyNumberFormat="1" applyAlignment="1">
      <alignment vertical="center"/>
    </xf>
    <xf numFmtId="165" fontId="5" fillId="5" borderId="1" xfId="9" applyNumberFormat="1" applyAlignment="1">
      <alignment vertical="center"/>
    </xf>
    <xf numFmtId="0" fontId="17" fillId="0" borderId="0" xfId="0" quotePrefix="1" applyFont="1" applyAlignment="1"/>
    <xf numFmtId="166" fontId="2" fillId="5" borderId="10" xfId="9" applyNumberFormat="1" applyFont="1" applyBorder="1" applyAlignment="1">
      <alignment horizontal="right"/>
    </xf>
    <xf numFmtId="166" fontId="5" fillId="4" borderId="11" xfId="10" applyNumberFormat="1" applyBorder="1"/>
    <xf numFmtId="166" fontId="5" fillId="4" borderId="6" xfId="8" applyNumberFormat="1" applyBorder="1"/>
    <xf numFmtId="0" fontId="8" fillId="0" borderId="0" xfId="11" applyFont="1" applyAlignment="1">
      <alignment horizontal="left" wrapText="1"/>
    </xf>
  </cellXfs>
  <cellStyles count="20">
    <cellStyle name="GrayCell" xfId="8" xr:uid="{00000000-0005-0000-0000-000000000000}"/>
    <cellStyle name="GrayCell 2" xfId="12" xr:uid="{00000000-0005-0000-0000-000001000000}"/>
    <cellStyle name="GrayCell 2 2" xfId="17" xr:uid="{00000000-0005-0000-0000-000002000000}"/>
    <cellStyle name="OrangeBorder" xfId="10" xr:uid="{00000000-0005-0000-0000-000003000000}"/>
    <cellStyle name="OrangeBorder 2" xfId="14" xr:uid="{00000000-0005-0000-0000-000004000000}"/>
    <cellStyle name="OrangeBorder 3" xfId="19" xr:uid="{00000000-0005-0000-0000-000005000000}"/>
    <cellStyle name="YellowCell" xfId="9" xr:uid="{00000000-0005-0000-0000-000006000000}"/>
    <cellStyle name="YellowCell 2" xfId="13" xr:uid="{00000000-0005-0000-0000-000007000000}"/>
    <cellStyle name="YellowCell 2 2" xfId="18" xr:uid="{00000000-0005-0000-0000-000008000000}"/>
    <cellStyle name="Гиперссылка" xfId="16" builtinId="8"/>
    <cellStyle name="Заголовок 1 2" xfId="4" xr:uid="{00000000-0005-0000-0000-00000A000000}"/>
    <cellStyle name="Заголовок 2" xfId="3" xr:uid="{00000000-0005-0000-0000-00000B000000}"/>
    <cellStyle name="Заголовок 2 2" xfId="5" xr:uid="{00000000-0005-0000-0000-00000C000000}"/>
    <cellStyle name="Заголовок 3 2" xfId="7" xr:uid="{00000000-0005-0000-0000-00000D000000}"/>
    <cellStyle name="Начальный текст" xfId="1" xr:uid="{00000000-0005-0000-0000-00000E000000}"/>
    <cellStyle name="Обычный" xfId="0" builtinId="0"/>
    <cellStyle name="Обычный 2" xfId="2" xr:uid="{00000000-0005-0000-0000-000010000000}"/>
    <cellStyle name="Обычный 2 2" xfId="15" xr:uid="{00000000-0005-0000-0000-000011000000}"/>
    <cellStyle name="Обычный 3" xfId="11" xr:uid="{00000000-0005-0000-0000-000012000000}"/>
    <cellStyle name="Текст в столбце z A" xfId="6" xr:uid="{00000000-0005-0000-0000-000013000000}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b/>
        <color theme="0"/>
      </font>
      <fill>
        <patternFill patternType="solid">
          <fgColor theme="9"/>
          <bgColor theme="9"/>
        </patternFill>
      </fill>
    </dxf>
    <dxf>
      <fill>
        <patternFill>
          <bgColor rgb="FF227447"/>
        </patternFill>
      </fill>
      <border>
        <top style="double">
          <color theme="1"/>
        </top>
      </border>
    </dxf>
    <dxf>
      <font>
        <b/>
        <color theme="0"/>
      </font>
      <fill>
        <patternFill patternType="solid">
          <fgColor theme="9"/>
          <bgColor rgb="FF227447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</dxfs>
  <tableStyles count="1" defaultTableStyle="TableStyleMedium2" defaultPivotStyle="PivotStyleLight16">
    <tableStyle name="Пользовательский интерфейс Excel" pivot="0" count="7" xr9:uid="{00000000-0011-0000-FFFF-FFFF00000000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4B183"/>
      <color rgb="FFE2F0D9"/>
      <color rgb="FF3B3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&#1054;&#1089;&#1085;&#1086;&#1074;&#1085;&#1099;&#1077; &#1089;&#1074;&#1077;&#1076;&#1077;&#1085;&#1080;&#1103;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13" Type="http://schemas.openxmlformats.org/officeDocument/2006/relationships/image" Target="../media/image6.png"/><Relationship Id="rId3" Type="http://schemas.openxmlformats.org/officeDocument/2006/relationships/hyperlink" Target="#&#1053;&#1072;&#1095;&#1072;&#1083;&#1086;!A1"/><Relationship Id="rId7" Type="http://schemas.openxmlformats.org/officeDocument/2006/relationships/image" Target="../media/image4.png"/><Relationship Id="rId12" Type="http://schemas.openxmlformats.org/officeDocument/2006/relationships/hyperlink" Target="https://support.office.com/ru-ru/article/%d0%9e%d0%b1%d1%83%d1%87%d0%b5%d0%bd%d0%b8%d0%b5-%d1%80%d0%b0%d0%b1%d0%be%d1%82%d0%b5-%d1%81-excel-9bc05390-e94c-46af-a5b3-d7c22f6990bb?ui=ru-RU&amp;rs=ru-RU&amp;ad=RU" TargetMode="External"/><Relationship Id="rId2" Type="http://schemas.openxmlformats.org/officeDocument/2006/relationships/hyperlink" Target="#'&#1054;&#1073;&#1097;&#1080;&#1077; &#1089;&#1074;&#1077;&#1076;&#1077;&#1085;&#1080;&#1103; &#1086; &#1092;&#1091;&#1085;&#1082;&#1094;&#1080;&#1103;&#1093;'!A1"/><Relationship Id="rId16" Type="http://schemas.openxmlformats.org/officeDocument/2006/relationships/image" Target="../media/image9.svg"/><Relationship Id="rId1" Type="http://schemas.openxmlformats.org/officeDocument/2006/relationships/hyperlink" Target="#'&#1054;&#1089;&#1085;&#1086;&#1074;&#1085;&#1099;&#1077; &#1089;&#1074;&#1077;&#1076;&#1077;&#1085;&#1080;&#1103;'!A62"/><Relationship Id="rId6" Type="http://schemas.openxmlformats.org/officeDocument/2006/relationships/hyperlink" Target="https://support.office.com/ru-ru/article/&#1057;&#1086;&#1079;&#1076;&#1072;&#1085;&#1080;&#1077;-&#1089;&#1074;&#1086;&#1076;&#1085;&#1086;&#1081;-&#1090;&#1072;&#1073;&#1083;&#1080;&#1094;&#1099;-&#1076;&#1083;&#1103;-&#1072;&#1085;&#1072;&#1083;&#1080;&#1079;&#1072;-&#1076;&#1072;&#1085;&#1085;&#1099;&#1093;-&#1083;&#1080;&#1089;&#1090;&#1072;-a9a84538-bfe9-40a9-a8e9-f99134456576?omkt=ru-RU" TargetMode="External"/><Relationship Id="rId11" Type="http://schemas.openxmlformats.org/officeDocument/2006/relationships/hyperlink" Target="https://support.office.com/ru-ru/article/%d0%a4%d1%83%d0%bd%d0%ba%d1%86%d0%b8%d0%b8-excel-%d0%bf%d0%be-%d0%b0%d0%bb%d1%84%d0%b0%d0%b2%d0%b8%d1%82%d1%83-b3944572-255d-4efb-bb96-c6d90033e188?ui=ru-RU&amp;rs=ru-RU&amp;ad=RU" TargetMode="External"/><Relationship Id="rId5" Type="http://schemas.openxmlformats.org/officeDocument/2006/relationships/image" Target="../media/image3.svg"/><Relationship Id="rId15" Type="http://schemas.openxmlformats.org/officeDocument/2006/relationships/image" Target="../media/image8.png"/><Relationship Id="rId10" Type="http://schemas.openxmlformats.org/officeDocument/2006/relationships/hyperlink" Target="https://support.office.com/ru-ru/article/%d0%a4%d1%83%d0%bd%d0%ba%d1%86%d0%b8%d0%b8-excel-%d0%bf%d0%be-%d0%ba%d0%b0%d1%82%d0%b5%d0%b3%d0%be%d1%80%d0%b8%d1%8f%d0%bc-5f91f4e9-7b42-46d2-9bd1-63f26a86c0eb?ui=ru-RU&amp;rs=ru-RU&amp;ad=RU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support.office.com/ru-ru/article/%d0%9f%d0%be%d0%bb%d0%bd%d1%8b%d0%b5-%d1%81%d0%b2%d0%b5%d0%b4%d0%b5%d0%bd%d0%b8%d1%8f-%d0%be-%d1%84%d0%be%d1%80%d0%bc%d1%83%d0%bb%d0%b0%d1%85-%d0%b2-excel-ecfdc708-9162-49e8-b993-c311f47ca173?ui=ru-RU&amp;rs=ru-RU&amp;ad=R" TargetMode="External"/><Relationship Id="rId14" Type="http://schemas.openxmlformats.org/officeDocument/2006/relationships/image" Target="../media/image7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ru-ru/article/%d0%9e%d0%b1%d1%83%d1%87%d0%b5%d0%bd%d0%b8%d0%b5-%d1%80%d0%b0%d0%b1%d0%be%d1%82%d0%b5-%d1%81-excel-9bc05390-e94c-46af-a5b3-d7c22f6990bb?ui=ru-RU&amp;rs=ru-RU&amp;ad=RU" TargetMode="External"/><Relationship Id="rId13" Type="http://schemas.openxmlformats.org/officeDocument/2006/relationships/image" Target="../media/image7.svg"/><Relationship Id="rId3" Type="http://schemas.openxmlformats.org/officeDocument/2006/relationships/hyperlink" Target="https://support.office.com/ru-ru/article/%d0%a4%d1%83%d0%bd%d0%ba%d1%86%d0%b8%d1%8f-%d0%a1%d0%a3%d0%9c%d0%9c-%d1%84%d0%be%d1%80%d0%bc%d1%83%d0%bb%d0%b0-%d1%81%d1%83%d0%bc%d0%bc%d1%8b-%d0%b2-excel-043e1c7d-7726-4e80-8f32-07b23e057f89?ui=ru-RU&amp;rs=ru-RU&amp;ad=R" TargetMode="External"/><Relationship Id="rId7" Type="http://schemas.openxmlformats.org/officeDocument/2006/relationships/hyperlink" Target="https://support.office.com/ru-ru/article/%d0%a4%d1%83%d0%bd%d0%ba%d1%86%d0%b8%d1%8f-%d0%a1%d0%a7%d0%81%d0%a2-a59cd7fc-b623-4d93-87a4-d23bf411294c?ui=ru-RU&amp;rs=ru-RU&amp;ad=RU" TargetMode="External"/><Relationship Id="rId12" Type="http://schemas.openxmlformats.org/officeDocument/2006/relationships/image" Target="../media/image6.png"/><Relationship Id="rId17" Type="http://schemas.openxmlformats.org/officeDocument/2006/relationships/hyperlink" Target="#'&#1054;&#1073;&#1097;&#1080;&#1077; &#1089;&#1074;&#1077;&#1076;&#1077;&#1085;&#1080;&#1103; &#1086; &#1092;&#1091;&#1085;&#1082;&#1094;&#1080;&#1103;&#1093;'!A72"/><Relationship Id="rId2" Type="http://schemas.openxmlformats.org/officeDocument/2006/relationships/hyperlink" Target="#&#1057;&#1056;&#1047;&#1053;&#1040;&#1063;!A1"/><Relationship Id="rId16" Type="http://schemas.openxmlformats.org/officeDocument/2006/relationships/image" Target="../media/image13.png"/><Relationship Id="rId1" Type="http://schemas.openxmlformats.org/officeDocument/2006/relationships/hyperlink" Target="#'&#1054;&#1073;&#1097;&#1080;&#1077; &#1089;&#1074;&#1077;&#1076;&#1077;&#1085;&#1080;&#1103; &#1086; &#1092;&#1091;&#1085;&#1082;&#1094;&#1080;&#1103;&#1093;'!A1"/><Relationship Id="rId6" Type="http://schemas.openxmlformats.org/officeDocument/2006/relationships/hyperlink" Target="https://support.office.com/ru-ru/article/&#1048;&#1089;&#1087;&#1086;&#1083;&#1100;&#1079;&#1086;&#1074;&#1072;&#1085;&#1080;&#1077;-&#1092;&#1091;&#1085;&#1082;&#1094;&#1080;&#1080;-&#1040;&#1074;&#1090;&#1086;&#1089;&#1091;&#1084;&#1084;&#1072;-&#1076;&#1083;&#1103;-&#1089;&#1091;&#1084;&#1084;&#1080;&#1088;&#1086;&#1074;&#1072;&#1085;&#1080;&#1103;-&#1095;&#1080;&#1089;&#1077;&#1083;-543941e7-e783-44ef-8317-7d1bb85fe706?omkt=ru-RU" TargetMode="External"/><Relationship Id="rId11" Type="http://schemas.openxmlformats.org/officeDocument/2006/relationships/image" Target="../media/image12.png"/><Relationship Id="rId5" Type="http://schemas.openxmlformats.org/officeDocument/2006/relationships/image" Target="../media/image5.svg"/><Relationship Id="rId15" Type="http://schemas.openxmlformats.org/officeDocument/2006/relationships/image" Target="../media/image3.svg"/><Relationship Id="rId10" Type="http://schemas.openxmlformats.org/officeDocument/2006/relationships/image" Target="../media/image11.svg"/><Relationship Id="rId4" Type="http://schemas.openxmlformats.org/officeDocument/2006/relationships/image" Target="../media/image4.png"/><Relationship Id="rId9" Type="http://schemas.openxmlformats.org/officeDocument/2006/relationships/image" Target="../media/image10.png"/><Relationship Id="rId1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ru-ru/article/%d0%9c%d0%95%d0%94%d0%98%d0%90%d0%9d%d0%90-%d1%84%d1%83%d0%bd%d0%ba%d1%86%d0%b8%d1%8f-%d0%9c%d0%95%d0%94%d0%98%d0%90%d0%9d%d0%90-d0916313-4753-414c-8537-ce85bdd967d2?ui=ru-RU&amp;rs=ru-RU&amp;ad=RU" TargetMode="External"/><Relationship Id="rId13" Type="http://schemas.openxmlformats.org/officeDocument/2006/relationships/image" Target="../media/image6.png"/><Relationship Id="rId3" Type="http://schemas.openxmlformats.org/officeDocument/2006/relationships/hyperlink" Target="#'Introduction to Functions'!A1"/><Relationship Id="rId7" Type="http://schemas.openxmlformats.org/officeDocument/2006/relationships/image" Target="../media/image5.svg"/><Relationship Id="rId12" Type="http://schemas.openxmlformats.org/officeDocument/2006/relationships/hyperlink" Target="#'&#1052;&#1048;&#1053; &#1048; &#1052;&#1040;&#1050;&#1057;'!A1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4.png"/><Relationship Id="rId11" Type="http://schemas.openxmlformats.org/officeDocument/2006/relationships/hyperlink" Target="#'&#1054;&#1073;&#1097;&#1080;&#1077; &#1089;&#1074;&#1077;&#1076;&#1077;&#1085;&#1080;&#1103; &#1086; &#1092;&#1091;&#1085;&#1082;&#1094;&#1080;&#1103;&#1093;'!A1"/><Relationship Id="rId5" Type="http://schemas.openxmlformats.org/officeDocument/2006/relationships/hyperlink" Target="https://support.office.com/ru-ru/article/%d0%a1%d0%a0%d0%97%d0%9d%d0%90%d0%a7-%d1%84%d1%83%d0%bd%d0%ba%d1%86%d0%b8%d1%8f-%d0%a1%d0%a0%d0%97%d0%9d%d0%90%d0%a7-047bac88-d466-426c-a32b-8f33eb960cf6?ui=ru-RU&amp;rs=ru-RU&amp;ad=RU" TargetMode="External"/><Relationship Id="rId10" Type="http://schemas.openxmlformats.org/officeDocument/2006/relationships/hyperlink" Target="https://support.office.com/ru-ru/article/%d0%9e%d0%b1%d1%83%d1%87%d0%b5%d0%bd%d0%b8%d0%b5-%d1%80%d0%b0%d0%b1%d0%be%d1%82%d0%b5-%d1%81-excel-9bc05390-e94c-46af-a5b3-d7c22f6990bb?ui=ru-RU&amp;rs=ru-RU&amp;ad=RU" TargetMode="External"/><Relationship Id="rId4" Type="http://schemas.openxmlformats.org/officeDocument/2006/relationships/hyperlink" Target="#'MIN &amp; MAX'!A1"/><Relationship Id="rId9" Type="http://schemas.openxmlformats.org/officeDocument/2006/relationships/hyperlink" Target="https://support.office.com/ru-ru/article/%d0%9c%d0%9e%d0%94%d0%90-%d1%84%d1%83%d0%bd%d0%ba%d1%86%d0%b8%d1%8f-%d0%9c%d0%9e%d0%94%d0%90-e45192ce-9122-4980-82ed-4bdc34973120?ocmsassetID=E45192CE-9122-4980-82ED-4BDC34973120&amp;ui=ru-RU&amp;rs=ru-RU&amp;ad=RU" TargetMode="External"/><Relationship Id="rId14" Type="http://schemas.openxmlformats.org/officeDocument/2006/relationships/image" Target="../media/image7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&#1057;&#1056;&#1047;&#1053;&#1040;&#1063;!A1"/><Relationship Id="rId3" Type="http://schemas.openxmlformats.org/officeDocument/2006/relationships/image" Target="../media/image5.svg"/><Relationship Id="rId7" Type="http://schemas.openxmlformats.org/officeDocument/2006/relationships/image" Target="../media/image9.svg"/><Relationship Id="rId2" Type="http://schemas.openxmlformats.org/officeDocument/2006/relationships/image" Target="../media/image4.png"/><Relationship Id="rId1" Type="http://schemas.openxmlformats.org/officeDocument/2006/relationships/hyperlink" Target="https://support.office.com/ru-ru/article/%d0%9c%d0%98%d0%9d-%d1%84%d1%83%d0%bd%d0%ba%d1%86%d0%b8%d1%8f-%d0%9c%d0%98%d0%9d-61635d12-920f-4ce2-a70f-96f202dcc152?ui=ru-RU&amp;rs=ru-RU&amp;ad=RU" TargetMode="External"/><Relationship Id="rId6" Type="http://schemas.openxmlformats.org/officeDocument/2006/relationships/image" Target="../media/image8.png"/><Relationship Id="rId5" Type="http://schemas.openxmlformats.org/officeDocument/2006/relationships/hyperlink" Target="https://support.office.com/ru-ru/article/%d0%9e%d0%b1%d1%83%d1%87%d0%b5%d0%bd%d0%b8%d0%b5-%d1%80%d0%b0%d0%b1%d0%be%d1%82%d0%b5-%d1%81-excel-9bc05390-e94c-46af-a5b3-d7c22f6990bb?ui=ru-RU&amp;rs=ru-RU&amp;ad=RU" TargetMode="External"/><Relationship Id="rId4" Type="http://schemas.openxmlformats.org/officeDocument/2006/relationships/hyperlink" Target="https://support.office.com/ru-ru/article/%d0%9c%d0%90%d0%9a%d0%a1-%d1%84%d1%83%d0%bd%d0%ba%d1%86%d0%b8%d1%8f-%d0%9c%d0%90%d0%9a%d0%a1-e0012414-9ac8-4b34-9a47-73e662c08098?ui=ru-RU&amp;rs=ru-RU&amp;ad=RU" TargetMode="External"/><Relationship Id="rId9" Type="http://schemas.openxmlformats.org/officeDocument/2006/relationships/hyperlink" Target="#'&#1044;&#1072;&#1090;&#1072; &#1080; &#1074;&#1088;&#1077;&#1084;&#1103;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ru-ru/article/%d0%a2%d0%94%d0%90%d0%a2%d0%90-%d1%84%d1%83%d0%bd%d0%ba%d1%86%d0%b8%d1%8f-%d0%a2%d0%94%d0%90%d0%a2%d0%90-3337fd29-145a-4347-b2e6-20c904739c46?ui=ru-RU&amp;rs=ru-RU&amp;ad=RU" TargetMode="External"/><Relationship Id="rId3" Type="http://schemas.openxmlformats.org/officeDocument/2006/relationships/hyperlink" Target="#'&#1052;&#1048;&#1053; &#1048; &#1052;&#1040;&#1050;&#1057;'!A1"/><Relationship Id="rId7" Type="http://schemas.openxmlformats.org/officeDocument/2006/relationships/image" Target="../media/image5.svg"/><Relationship Id="rId12" Type="http://schemas.openxmlformats.org/officeDocument/2006/relationships/image" Target="../media/image11.sv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6" Type="http://schemas.openxmlformats.org/officeDocument/2006/relationships/image" Target="../media/image4.png"/><Relationship Id="rId11" Type="http://schemas.openxmlformats.org/officeDocument/2006/relationships/image" Target="../media/image10.png"/><Relationship Id="rId5" Type="http://schemas.openxmlformats.org/officeDocument/2006/relationships/hyperlink" Target="https://support.office.com/ru-ru/article/%d0%a4%d1%83%d0%bd%d0%ba%d1%86%d0%b8%d1%8f-%d0%a1%d0%95%d0%93%d0%9e%d0%94%d0%9d%d0%af-5eb3078d-a82c-4736-8930-2f51a028fdd9?ui=ru-RU&amp;rs=ru-RU&amp;ad=RU" TargetMode="External"/><Relationship Id="rId10" Type="http://schemas.openxmlformats.org/officeDocument/2006/relationships/hyperlink" Target="https://support.office.com/ru-ru/article/%d0%a4%d1%83%d0%bd%d0%ba%d1%86%d0%b8%d1%8f-%d0%94%d0%90%d0%a2%d0%90-e36c0c8c-4104-49da-ab83-82328b832349?ui=ru-RU&amp;rs=ru-RU&amp;ad=RU" TargetMode="External"/><Relationship Id="rId4" Type="http://schemas.openxmlformats.org/officeDocument/2006/relationships/hyperlink" Target="#'&#1054;&#1073;&#1098;&#1077;&#1076;&#1080;&#1085;&#1077;&#1085;&#1080;&#1077; &#1090;&#1077;&#1082;&#1089;&#1090;&#1072; &#1080; &#1095;&#1080;&#1089;&#1077;&#1083;'!A1"/><Relationship Id="rId9" Type="http://schemas.openxmlformats.org/officeDocument/2006/relationships/hyperlink" Target="https://support.office.com/ru-ru/article/%d0%9e%d0%b1%d1%83%d1%87%d0%b5%d0%bd%d0%b8%d0%b5-%d1%80%d0%b0%d0%b1%d0%be%d1%82%d0%b5-%d1%81-excel-9bc05390-e94c-46af-a5b3-d7c22f6990bb?ui=ru-RU&amp;rs=ru-RU&amp;ad=RU" TargetMode="Externa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ru-ru/article/%d0%9e%d0%b1%d1%8a%d0%b5%d0%b4%d0%b8%d0%bd%d0%b5%d0%bd%d0%b8%d0%b5-%d1%82%d0%b5%d0%ba%d1%81%d1%82%d0%b0-%d0%b8-%d1%87%d0%b8%d1%81%d0%b5%d0%bb-a32c8e0e-90a2-435b-8635-5dd2209044ad?ui=ru-RU&amp;rs=ru-RU&amp;ad=RU" TargetMode="External"/><Relationship Id="rId3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7.svg"/><Relationship Id="rId2" Type="http://schemas.openxmlformats.org/officeDocument/2006/relationships/hyperlink" Target="#'&#1054;&#1087;&#1077;&#1088;&#1072;&#1090;&#1086;&#1088;&#1099; &#1045;&#1057;&#1051;&#1048;'!A1"/><Relationship Id="rId1" Type="http://schemas.openxmlformats.org/officeDocument/2006/relationships/hyperlink" Target="#'&#1044;&#1072;&#1090;&#1072; &#1080; &#1074;&#1088;&#1077;&#1084;&#1103;'!A1"/><Relationship Id="rId6" Type="http://schemas.openxmlformats.org/officeDocument/2006/relationships/image" Target="../media/image4.png"/><Relationship Id="rId11" Type="http://schemas.openxmlformats.org/officeDocument/2006/relationships/image" Target="../media/image6.png"/><Relationship Id="rId5" Type="http://schemas.openxmlformats.org/officeDocument/2006/relationships/hyperlink" Target="https://support.office.com/ru-ru/article/%d0%a4%d1%83%d0%bd%d0%ba%d1%86%d0%b8%d1%8f-%d0%a2%d0%95%d0%9a%d0%a1%d0%a2-20d5ac4d-7b94-49fd-bb38-93d29371225c?ui=ru-RU&amp;rs=ru-RU&amp;ad=RU" TargetMode="External"/><Relationship Id="rId10" Type="http://schemas.openxmlformats.org/officeDocument/2006/relationships/hyperlink" Target="#'&#1054;&#1073;&#1098;&#1077;&#1076;&#1080;&#1085;&#1077;&#1085;&#1080;&#1077; &#1090;&#1077;&#1082;&#1089;&#1090;&#1072; &#1080; &#1095;&#1080;&#1089;&#1077;&#1083;'!A56"/><Relationship Id="rId4" Type="http://schemas.openxmlformats.org/officeDocument/2006/relationships/image" Target="../media/image15.svg"/><Relationship Id="rId9" Type="http://schemas.openxmlformats.org/officeDocument/2006/relationships/hyperlink" Target="https://support.office.com/ru-ru/article/%d0%9e%d0%b1%d1%83%d1%87%d0%b5%d0%bd%d0%b8%d0%b5-%d1%80%d0%b0%d0%b1%d0%be%d1%82%d0%b5-%d1%81-excel-9bc05390-e94c-46af-a5b3-d7c22f6990bb?ui=ru-RU&amp;rs=ru-RU&amp;ad=RU" TargetMode="Externa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image" Target="../media/image5.svg"/><Relationship Id="rId3" Type="http://schemas.openxmlformats.org/officeDocument/2006/relationships/image" Target="../media/image11.svg"/><Relationship Id="rId7" Type="http://schemas.openxmlformats.org/officeDocument/2006/relationships/image" Target="../media/image8.png"/><Relationship Id="rId12" Type="http://schemas.openxmlformats.org/officeDocument/2006/relationships/image" Target="../media/image4.png"/><Relationship Id="rId17" Type="http://schemas.openxmlformats.org/officeDocument/2006/relationships/image" Target="../media/image18.png"/><Relationship Id="rId2" Type="http://schemas.openxmlformats.org/officeDocument/2006/relationships/image" Target="../media/image10.png"/><Relationship Id="rId16" Type="http://schemas.openxmlformats.org/officeDocument/2006/relationships/hyperlink" Target="https://support.office.com/ru-ru/article/&#1060;&#1091;&#1085;&#1082;&#1094;&#1080;&#1103;-&#1045;&#1057;&#1051;&#1048;-&#8212;-&#1074;&#1083;&#1086;&#1078;&#1077;&#1085;&#1085;&#1099;&#1077;-&#1092;&#1086;&#1088;&#1084;&#1091;&#1083;&#1099;-&#1080;-&#1090;&#1080;&#1087;&#1086;&#1074;&#1099;&#1077;-&#1086;&#1096;&#1080;&#1073;&#1082;&#1080;-0b22ff44-f149-44ba-aeb5-4ef99da241c8?omkt=ru-RU" TargetMode="External"/><Relationship Id="rId1" Type="http://schemas.openxmlformats.org/officeDocument/2006/relationships/hyperlink" Target="#&#1042;&#1055;&#1056;!A1"/><Relationship Id="rId6" Type="http://schemas.openxmlformats.org/officeDocument/2006/relationships/hyperlink" Target="https://support.office.com/ru-ru/article/&#1054;&#1087;&#1088;&#1077;&#1076;&#1077;&#1083;&#1077;&#1085;&#1080;&#1077;-&#1080;-&#1080;&#1089;&#1087;&#1086;&#1083;&#1100;&#1079;&#1086;&#1074;&#1072;&#1085;&#1080;&#1077;-&#1080;&#1084;&#1077;&#1085;-&#1074;-&#1092;&#1086;&#1088;&#1084;&#1091;&#1083;&#1072;&#1093;-4d0f13ac-53b7-422e-afd2-abd7ff379c64?omkt=ru-RU" TargetMode="External"/><Relationship Id="rId11" Type="http://schemas.openxmlformats.org/officeDocument/2006/relationships/hyperlink" Target="https://support.office.com/ru-ru/article/%d0%a4%d1%83%d0%bd%d0%ba%d1%86%d0%b8%d1%8f-%d0%95%d0%a1%d0%9b%d0%98-69aed7c9-4e8a-4755-a9bc-aa8bbff73be2?ui=ru-RU&amp;rs=ru-RU&amp;ad=RU" TargetMode="External"/><Relationship Id="rId5" Type="http://schemas.openxmlformats.org/officeDocument/2006/relationships/image" Target="../media/image17.svg"/><Relationship Id="rId15" Type="http://schemas.openxmlformats.org/officeDocument/2006/relationships/hyperlink" Target="https://support.office.com/ru-ru/article/%d0%9e%d0%b1%d1%83%d1%87%d0%b5%d0%bd%d0%b8%d0%b5-%d1%80%d0%b0%d0%b1%d0%be%d1%82%d0%b5-%d1%81-excel-9bc05390-e94c-46af-a5b3-d7c22f6990bb?ui=ru-RU&amp;rs=ru-RU&amp;ad=RU" TargetMode="External"/><Relationship Id="rId10" Type="http://schemas.openxmlformats.org/officeDocument/2006/relationships/hyperlink" Target="#'&#1054;&#1073;&#1098;&#1077;&#1076;&#1080;&#1085;&#1077;&#1085;&#1080;&#1077; &#1090;&#1077;&#1082;&#1089;&#1090;&#1072; &#1080; &#1095;&#1080;&#1089;&#1077;&#1083;'!A1"/><Relationship Id="rId4" Type="http://schemas.openxmlformats.org/officeDocument/2006/relationships/image" Target="../media/image16.png"/><Relationship Id="rId9" Type="http://schemas.openxmlformats.org/officeDocument/2006/relationships/hyperlink" Target="#'&#1054;&#1087;&#1077;&#1088;&#1072;&#1090;&#1086;&#1088;&#1099; &#1045;&#1057;&#1051;&#1048;'!A67"/><Relationship Id="rId14" Type="http://schemas.openxmlformats.org/officeDocument/2006/relationships/hyperlink" Target="https://support.office.com/ru-ru/article/%d0%a4%d1%83%d0%bd%d0%ba%d1%86%d0%b8%d1%8f-%d0%a3%d0%a1%d0%9b%d0%9e%d0%92%d0%98%d0%af-36329a26-37b2-467c-972b-4a39bd951d45?ui=ru-RU&amp;rs=ru-RU&amp;ad=RU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ru-ru/article/&#1057;&#1086;&#1079;&#1076;&#1072;&#1085;&#1080;&#1077;-&#1089;&#1074;&#1086;&#1076;&#1085;&#1086;&#1081;-&#1090;&#1072;&#1073;&#1083;&#1080;&#1094;&#1099;-&#1076;&#1083;&#1103;-&#1072;&#1085;&#1072;&#1083;&#1080;&#1079;&#1072;-&#1076;&#1072;&#1085;&#1085;&#1099;&#1093;-&#1083;&#1080;&#1089;&#1090;&#1072;-a9a84538-bfe9-40a9-a8e9-f99134456576?omkt=ru-RU" TargetMode="External"/><Relationship Id="rId13" Type="http://schemas.openxmlformats.org/officeDocument/2006/relationships/image" Target="../media/image10.png"/><Relationship Id="rId3" Type="http://schemas.openxmlformats.org/officeDocument/2006/relationships/image" Target="../media/image4.png"/><Relationship Id="rId7" Type="http://schemas.openxmlformats.org/officeDocument/2006/relationships/hyperlink" Target="https://support.office.com/ru-ru/article/%d0%95%d0%a1%d0%9b%d0%98%d0%9e%d0%a8%d0%98%d0%91%d0%9a%d0%90-%d1%84%d1%83%d0%bd%d0%ba%d1%86%d0%b8%d1%8f-%d0%95%d0%a1%d0%9b%d0%98%d0%9e%d0%a8%d0%98%d0%91%d0%9a%d0%90-c526fd07-caeb-47b8-8bb6-63f3e417f611?ui=ru-RU&amp;rs=" TargetMode="External"/><Relationship Id="rId12" Type="http://schemas.openxmlformats.org/officeDocument/2006/relationships/hyperlink" Target="#'&#1054;&#1087;&#1077;&#1088;&#1072;&#1090;&#1086;&#1088;&#1099; &#1045;&#1057;&#1051;&#1048;'!A1"/><Relationship Id="rId2" Type="http://schemas.openxmlformats.org/officeDocument/2006/relationships/hyperlink" Target="https://support.office.com/ru-ru/article/&#1060;&#1091;&#1085;&#1082;&#1094;&#1080;&#1103;-&#1042;&#1055;&#1056;-&#1076;&#1083;&#1103;-excel-&#8212;-&#1057;&#1083;&#1091;&#1078;&#1073;&#1072;-&#1087;&#1086;&#1076;&#1076;&#1077;&#1088;&#1078;&#1082;&#1080;-office-0bbc8083-26fe-4963-8ab8-93a18ad188a1?omkt=ru-RU" TargetMode="External"/><Relationship Id="rId1" Type="http://schemas.openxmlformats.org/officeDocument/2006/relationships/hyperlink" Target="#'&#1059;&#1089;&#1083;&#1086;&#1074;&#1085;&#1099;&#1077; &#1092;&#1091;&#1085;&#1082;&#1094;&#1080;&#1080;'!A1"/><Relationship Id="rId6" Type="http://schemas.openxmlformats.org/officeDocument/2006/relationships/hyperlink" Target="https://support.office.com/ru-ru/article/%d0%9e%d0%b1%d1%83%d1%87%d0%b5%d0%bd%d0%b8%d0%b5-%d1%80%d0%b0%d0%b1%d0%be%d1%82%d0%b5-%d1%81-excel-9bc05390-e94c-46af-a5b3-d7c22f6990bb?ui=ru-RU&amp;rs=ru-RU&amp;ad=RU" TargetMode="External"/><Relationship Id="rId11" Type="http://schemas.openxmlformats.org/officeDocument/2006/relationships/hyperlink" Target="#&#1042;&#1055;&#1056;!A76"/><Relationship Id="rId5" Type="http://schemas.openxmlformats.org/officeDocument/2006/relationships/hyperlink" Target="https://support.microsoft.com/ru-ru/help/214142/how-to-use-the-index-and-match-worksheet-functions-with-multiple-crite" TargetMode="External"/><Relationship Id="rId10" Type="http://schemas.openxmlformats.org/officeDocument/2006/relationships/image" Target="../media/image20.svg"/><Relationship Id="rId4" Type="http://schemas.openxmlformats.org/officeDocument/2006/relationships/image" Target="../media/image5.svg"/><Relationship Id="rId9" Type="http://schemas.openxmlformats.org/officeDocument/2006/relationships/image" Target="../media/image19.png"/><Relationship Id="rId14" Type="http://schemas.openxmlformats.org/officeDocument/2006/relationships/image" Target="../media/image1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ru-ru/article/%d0%9c%d0%90%d0%9a%d0%a1%d0%95%d0%a1%d0%9b%d0%98-dfd611e6-da2c-488a-919b-9b6376b28883?ui=ru-RU&amp;rs=ru-RU&amp;ad=RU" TargetMode="External"/><Relationship Id="rId13" Type="http://schemas.openxmlformats.org/officeDocument/2006/relationships/hyperlink" Target="https://support.office.com/ru-ru/article/%d0%a4%d1%83%d0%bd%d0%ba%d1%86%d0%b8%d1%8f-%d0%a1%d0%a3%d0%9c%d0%9c%d0%95%d0%a1%d0%9b%d0%98%d0%9c%d0%9d-c9e748f5-7ea7-455d-9406-611cebce642b?ui=ru-RU&amp;rs=ru-RU&amp;ad=RU" TargetMode="External"/><Relationship Id="rId18" Type="http://schemas.openxmlformats.org/officeDocument/2006/relationships/image" Target="../media/image21.png"/><Relationship Id="rId3" Type="http://schemas.openxmlformats.org/officeDocument/2006/relationships/hyperlink" Target="#'&#1052;&#1072;&#1089;&#1090;&#1077;&#1088; &#1092;&#1091;&#1085;&#1082;&#1094;&#1080;&#1081;'!A1"/><Relationship Id="rId21" Type="http://schemas.openxmlformats.org/officeDocument/2006/relationships/hyperlink" Target="#'&#1059;&#1089;&#1083;&#1086;&#1074;&#1085;&#1099;&#1077; &#1092;&#1091;&#1085;&#1082;&#1094;&#1080;&#1080;'!A137"/><Relationship Id="rId7" Type="http://schemas.openxmlformats.org/officeDocument/2006/relationships/image" Target="../media/image5.svg"/><Relationship Id="rId12" Type="http://schemas.openxmlformats.org/officeDocument/2006/relationships/hyperlink" Target="https://support.office.com/ru-ru/article/%d0%a4%d1%83%d0%bd%d0%ba%d1%86%d0%b8%d1%8f-%d0%a1%d0%a7%d0%81%d0%a2%d0%95%d0%a1%d0%9b%d0%98%d0%9c%d0%9d-%d0%b2-excel-dda3dc6e-f74e-4aee-88bc-aa8c2a866842?ui=ru-RU&amp;rs=ru-RU&amp;ad=RU" TargetMode="External"/><Relationship Id="rId17" Type="http://schemas.openxmlformats.org/officeDocument/2006/relationships/hyperlink" Target="https://support.office.com/ru-ru/article/&#1057;&#1086;&#1079;&#1076;&#1072;&#1085;&#1080;&#1077;-&#1089;&#1074;&#1086;&#1076;&#1085;&#1086;&#1081;-&#1090;&#1072;&#1073;&#1083;&#1080;&#1094;&#1099;-&#1076;&#1083;&#1103;-&#1072;&#1085;&#1072;&#1083;&#1080;&#1079;&#1072;-&#1076;&#1072;&#1085;&#1085;&#1099;&#1093;-&#1083;&#1080;&#1089;&#1090;&#1072;-a9a84538-bfe9-40a9-a8e9-f99134456576?omkt=ru-RU" TargetMode="External"/><Relationship Id="rId2" Type="http://schemas.openxmlformats.org/officeDocument/2006/relationships/image" Target="../media/image9.svg"/><Relationship Id="rId16" Type="http://schemas.openxmlformats.org/officeDocument/2006/relationships/hyperlink" Target="https://support.office.com/ru-ru/article/%d0%a1%d0%be%d0%b7%d0%b4%d0%b0%d0%bd%d0%b8%d0%b5-%d1%80%d0%b0%d1%81%d0%ba%d1%80%d1%8b%d0%b2%d0%b0%d1%8e%d1%89%d0%b5%d0%b3%d0%be%d1%81%d1%8f-%d1%81%d0%bf%d0%b8%d1%81%d0%ba%d0%b0-7693307a-59ef-400a-b769-c5402dce407b?" TargetMode="External"/><Relationship Id="rId20" Type="http://schemas.openxmlformats.org/officeDocument/2006/relationships/hyperlink" Target="#'&#1059;&#1089;&#1083;&#1086;&#1074;&#1085;&#1099;&#1077; &#1092;&#1091;&#1085;&#1082;&#1094;&#1080;&#1080;'!A97"/><Relationship Id="rId1" Type="http://schemas.openxmlformats.org/officeDocument/2006/relationships/image" Target="../media/image8.png"/><Relationship Id="rId6" Type="http://schemas.openxmlformats.org/officeDocument/2006/relationships/image" Target="../media/image4.png"/><Relationship Id="rId11" Type="http://schemas.openxmlformats.org/officeDocument/2006/relationships/hyperlink" Target="https://support.office.com/ru-ru/article/%d0%a4%d1%83%d0%bd%d0%ba%d1%86%d0%b8%d1%8f-%d0%9c%d0%98%d0%9d%d0%95%d0%a1%d0%9b%d0%98-6ca1ddaa-079b-4e74-80cc-72eef32e6599?ui=ru-RU&amp;rs=ru-RU&amp;ad=RU" TargetMode="External"/><Relationship Id="rId5" Type="http://schemas.openxmlformats.org/officeDocument/2006/relationships/hyperlink" Target="https://support.office.com/ru-ru/article/%d0%9e%d0%b1%d1%83%d1%87%d0%b5%d0%bd%d0%b8%d0%b5-%d1%80%d0%b0%d0%b1%d0%be%d1%82%d0%b5-%d1%81-excel-9bc05390-e94c-46af-a5b3-d7c22f6990bb?ui=ru-RU&amp;rs=ru-RU&amp;ad=RU" TargetMode="External"/><Relationship Id="rId15" Type="http://schemas.openxmlformats.org/officeDocument/2006/relationships/hyperlink" Target="https://support.office.com/ru-ru/article/%d0%a1%d0%a7%d0%81%d0%a2%d0%95%d0%a1%d0%9b%d0%98-%d1%84%d1%83%d0%bd%d0%ba%d1%86%d0%b8%d1%8f-%d0%a1%d0%a7%d0%81%d0%a2%d0%95%d0%a1%d0%9b%d0%98-e0de10c6-f885-4e71-abb4-1f464816df34?ui=ru-RU&amp;rs=ru-RU&amp;ad=RU" TargetMode="External"/><Relationship Id="rId10" Type="http://schemas.openxmlformats.org/officeDocument/2006/relationships/hyperlink" Target="https://support.office.com/ru-ru/article/%d0%a1%d0%a0%d0%97%d0%9d%d0%90%d0%a7%d0%95%d0%a1%d0%9b%d0%98-%d1%84%d1%83%d0%bd%d0%ba%d1%86%d0%b8%d1%8f-%d0%a1%d0%a0%d0%97%d0%9d%d0%90%d0%a7%d0%95%d0%a1%d0%9b%d0%98-faec8e2e-0dec-4308-af69-f5576d8ac642?ui=ru-RU&amp;rs=" TargetMode="External"/><Relationship Id="rId19" Type="http://schemas.openxmlformats.org/officeDocument/2006/relationships/image" Target="../media/image17.svg"/><Relationship Id="rId4" Type="http://schemas.openxmlformats.org/officeDocument/2006/relationships/hyperlink" Target="#'&#1059;&#1089;&#1083;&#1086;&#1074;&#1085;&#1099;&#1077; &#1092;&#1091;&#1085;&#1082;&#1094;&#1080;&#1080;'!A1"/><Relationship Id="rId9" Type="http://schemas.openxmlformats.org/officeDocument/2006/relationships/hyperlink" Target="https://support.office.com/ru-ru/article/%d0%a4%d1%83%d0%bd%d0%ba%d1%86%d0%b8%d1%8f-%d0%a1%d0%a0%d0%97%d0%9d%d0%90%d0%a7%d0%95%d0%a1%d0%9b%d0%98%d0%9c%d0%9d-48910c45-1fc0-4389-a028-f7c5c3001690?ui=ru-RU&amp;rs=ru-RU&amp;ad=RU" TargetMode="External"/><Relationship Id="rId14" Type="http://schemas.openxmlformats.org/officeDocument/2006/relationships/hyperlink" Target="https://support.office.com/ru-ru/article/%d0%a4%d1%83%d0%bd%d0%ba%d1%86%d0%b8%d1%8f-%d0%a1%d0%a3%d0%9c%d0%9c%d0%95%d0%a1%d0%9b%d0%98-169b8c99-c05c-4483-a712-1697a653039b?ui=ru-RU&amp;rs=ru-RU&amp;ad=RU" TargetMode="External"/><Relationship Id="rId22" Type="http://schemas.openxmlformats.org/officeDocument/2006/relationships/hyperlink" Target="#'&#1059;&#1089;&#1083;&#1086;&#1074;&#1085;&#1099;&#1077; &#1092;&#1091;&#1085;&#1082;&#1094;&#1080;&#1080;'!A155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https://support.office.com/ru-ru/article/%d0%a4%d1%83%d0%bd%d0%ba%d1%86%d0%b8%d0%b8-excel-%d0%bf%d0%be-%d0%b0%d0%bb%d1%84%d0%b0%d0%b2%d0%b8%d1%82%d1%83-b3944572-255d-4efb-bb96-c6d90033e188?ui=ru-RU&amp;rs=ru-RU&amp;ad=RU" TargetMode="External"/><Relationship Id="rId13" Type="http://schemas.openxmlformats.org/officeDocument/2006/relationships/image" Target="../media/image9.svg"/><Relationship Id="rId3" Type="http://schemas.openxmlformats.org/officeDocument/2006/relationships/hyperlink" Target="https://support.office.com/ru-ru/article/%d0%9f%d0%be%d0%bb%d0%bd%d1%8b%d0%b5-%d1%81%d0%b2%d0%b5%d0%b4%d0%b5%d0%bd%d0%b8%d1%8f-%d0%be-%d1%84%d0%be%d1%80%d0%bc%d1%83%d0%bb%d0%b0%d1%85-%d0%b2-excel-ecfdc708-9162-49e8-b993-c311f47ca173?ui=ru-RU&amp;rs=ru-RU&amp;ad=R" TargetMode="External"/><Relationship Id="rId7" Type="http://schemas.openxmlformats.org/officeDocument/2006/relationships/hyperlink" Target="https://support.office.com/ru-ru/article/%d0%9e%d0%b1%d1%83%d1%87%d0%b5%d0%bd%d0%b8%d0%b5-%d1%80%d0%b0%d0%b1%d0%be%d1%82%d0%b5-%d1%81-excel-9bc05390-e94c-46af-a5b3-d7c22f6990bb?ui=ru-RU&amp;rs=ru-RU&amp;ad=RU" TargetMode="External"/><Relationship Id="rId12" Type="http://schemas.openxmlformats.org/officeDocument/2006/relationships/image" Target="../media/image8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hyperlink" Target="https://support.office.com/ru-ru/article/%d0%a4%d1%83%d0%bd%d0%ba%d1%86%d0%b8%d0%b8-excel-%d0%bf%d0%be-%d0%ba%d0%b0%d1%82%d0%b5%d0%b3%d0%be%d1%80%d0%b8%d1%8f%d0%bc-5f91f4e9-7b42-46d2-9bd1-63f26a86c0eb?ui=ru-RU&amp;rs=ru-RU&amp;ad=RU" TargetMode="External"/><Relationship Id="rId11" Type="http://schemas.openxmlformats.org/officeDocument/2006/relationships/image" Target="../media/image22.png"/><Relationship Id="rId5" Type="http://schemas.openxmlformats.org/officeDocument/2006/relationships/image" Target="../media/image5.svg"/><Relationship Id="rId10" Type="http://schemas.openxmlformats.org/officeDocument/2006/relationships/hyperlink" Target="#'&#1054;&#1096;&#1080;&#1073;&#1082;&#1080; &#1074; &#1092;&#1086;&#1088;&#1084;&#1091;&#1083;&#1072;&#1093;'!A1"/><Relationship Id="rId4" Type="http://schemas.openxmlformats.org/officeDocument/2006/relationships/image" Target="../media/image4.png"/><Relationship Id="rId9" Type="http://schemas.openxmlformats.org/officeDocument/2006/relationships/hyperlink" Target="#'&#1059;&#1089;&#1083;&#1086;&#1074;&#1085;&#1099;&#1077; &#1092;&#1091;&#1085;&#1082;&#1094;&#1080;&#1080;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hyperlink" Target="https://support.office.com/ru-ru/article/%d0%9e%d0%b1%d1%83%d1%87%d0%b5%d0%bd%d0%b8%d0%b5-%d1%80%d0%b0%d0%b1%d0%be%d1%82%d0%b5-%d1%81-excel-9bc05390-e94c-46af-a5b3-d7c22f6990bb?ui=ru-RU&amp;rs=ru-RU&amp;ad=RU" TargetMode="External"/><Relationship Id="rId3" Type="http://schemas.openxmlformats.org/officeDocument/2006/relationships/hyperlink" Target="#'&#1052;&#1072;&#1089;&#1090;&#1077;&#1088; &#1092;&#1091;&#1085;&#1082;&#1094;&#1080;&#1081;'!A1"/><Relationship Id="rId7" Type="http://schemas.openxmlformats.org/officeDocument/2006/relationships/image" Target="../media/image8.png"/><Relationship Id="rId12" Type="http://schemas.openxmlformats.org/officeDocument/2006/relationships/hyperlink" Target="https://support.office.com/ru-ru/article/&#1056;&#1077;&#1082;&#1086;&#1084;&#1077;&#1085;&#1076;&#1072;&#1094;&#1080;&#1080;-&#1087;&#1086;&#1079;&#1074;&#1086;&#1083;&#1103;&#1102;&#1097;&#1080;&#1077;-&#1080;&#1079;&#1073;&#1077;&#1078;&#1072;&#1090;&#1100;-&#1087;&#1086;&#1103;&#1074;&#1083;&#1077;&#1085;&#1080;&#1103;-&#1085;&#1077;&#1088;&#1072;&#1073;&#1086;&#1090;&#1072;&#1102;&#1097;&#1080;&#1093;-&#1092;&#1086;&#1088;&#1084;&#1091;&#1083;-8309381d-33e8-42f6-b889-84ef6df1d586?omkt=ru-RU" TargetMode="External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20.svg"/><Relationship Id="rId11" Type="http://schemas.openxmlformats.org/officeDocument/2006/relationships/image" Target="../media/image5.svg"/><Relationship Id="rId5" Type="http://schemas.openxmlformats.org/officeDocument/2006/relationships/image" Target="../media/image19.png"/><Relationship Id="rId10" Type="http://schemas.openxmlformats.org/officeDocument/2006/relationships/image" Target="../media/image4.png"/><Relationship Id="rId4" Type="http://schemas.openxmlformats.org/officeDocument/2006/relationships/hyperlink" Target="#'&#1044;&#1086;&#1087;&#1086;&#1083;&#1085;&#1080;&#1090;&#1077;&#1083;&#1100;&#1085;&#1099;&#1077; &#1089;&#1074;&#1077;&#1076;&#1077;&#1085;&#1080;&#1103;'!A1"/><Relationship Id="rId9" Type="http://schemas.openxmlformats.org/officeDocument/2006/relationships/hyperlink" Target="https://support.office.com/ru-ru/article/%d0%9f%d0%be%d0%b8%d1%81%d0%ba-%d0%be%d1%88%d0%b8%d0%b1%d0%be%d0%ba-%d0%b2-%d1%84%d0%be%d1%80%d0%bc%d1%83%d0%bb%d0%b0%d1%85-3a8acca5-1d61-4702-80e0-99a36a2822c1?ui=ru-RU&amp;rs=ru-RU&amp;ad=RU" TargetMode="External"/><Relationship Id="rId14" Type="http://schemas.openxmlformats.org/officeDocument/2006/relationships/hyperlink" Target="https://support.office.com/ru-ru/article/&#1042;&#1099;&#1095;&#1080;&#1089;&#1083;&#1077;&#1085;&#1080;&#1077;-&#1074;&#1083;&#1086;&#1078;&#1077;&#1085;&#1085;&#1086;&#1081;-&#1092;&#1086;&#1088;&#1084;&#1091;&#1083;&#1099;-&#1087;&#1086;-&#1096;&#1072;&#1075;&#1072;&#1084;-59a201ae-d1dc-4b15-8586-a70aa409b8a7?omkt=ru-RU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https://go.microsoft.com/fwlink/?linkid=859431" TargetMode="External"/><Relationship Id="rId7" Type="http://schemas.openxmlformats.org/officeDocument/2006/relationships/image" Target="../media/image29.sv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28.png"/><Relationship Id="rId5" Type="http://schemas.openxmlformats.org/officeDocument/2006/relationships/image" Target="../media/image27.png"/><Relationship Id="rId4" Type="http://schemas.openxmlformats.org/officeDocument/2006/relationships/hyperlink" Target="https://support.office.com/ru-ru/article/&#1053;&#1086;&#1074;&#1099;&#1077;-&#1074;&#1086;&#1079;&#1084;&#1086;&#1078;&#1085;&#1086;&#1089;&#1090;&#1080;-excel-2016-&#1076;&#1083;&#1103;-windows-5fdb9208-ff33-45b6-9e08-1f5cdb3a6c73?omkt=ru-RU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161925</xdr:colOff>
      <xdr:row>3</xdr:row>
      <xdr:rowOff>2205039</xdr:rowOff>
    </xdr:from>
    <xdr:to>
      <xdr:col>0</xdr:col>
      <xdr:colOff>2041238</xdr:colOff>
      <xdr:row>3</xdr:row>
      <xdr:rowOff>3201988</xdr:rowOff>
    </xdr:to>
    <xdr:pic>
      <xdr:nvPicPr>
        <xdr:cNvPr id="2" name="Рисунок 1" descr="Логотип Excel">
          <a:extLst>
            <a:ext uri="{FF2B5EF4-FFF2-40B4-BE49-F238E27FC236}">
              <a16:creationId xmlns:a16="http://schemas.microsoft.com/office/drawing/2014/main" id="{9356F0F2-25C5-4E97-B672-85171E57B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4333876"/>
          <a:ext cx="1879313" cy="996949"/>
        </a:xfrm>
        <a:prstGeom prst="rect">
          <a:avLst/>
        </a:prstGeom>
      </xdr:spPr>
    </xdr:pic>
    <xdr:clientData/>
  </xdr:twoCellAnchor>
  <xdr:absoluteAnchor>
    <xdr:pos x="7981950" y="4779963"/>
    <xdr:ext cx="1620000" cy="514350"/>
    <xdr:sp macro="" textlink="">
      <xdr:nvSpPr>
        <xdr:cNvPr id="3" name="Кнопка «Далее»" descr="Кнопка с гиперссылкой для перехода к следующему шагу">
          <a:hlinkClick xmlns:r="http://schemas.openxmlformats.org/officeDocument/2006/relationships" r:id="rId2" tooltip="Выберите, чтобы начать ознакомительный тур."/>
          <a:extLst>
            <a:ext uri="{FF2B5EF4-FFF2-40B4-BE49-F238E27FC236}">
              <a16:creationId xmlns:a16="http://schemas.microsoft.com/office/drawing/2014/main" id="{A16C62F8-5DAF-4A85-B660-EDB91A61244F}"/>
            </a:ext>
          </a:extLst>
        </xdr:cNvPr>
        <xdr:cNvSpPr/>
      </xdr:nvSpPr>
      <xdr:spPr>
        <a:xfrm>
          <a:off x="7981950" y="4779963"/>
          <a:ext cx="1620000" cy="514350"/>
        </a:xfrm>
        <a:prstGeom prst="rect">
          <a:avLst/>
        </a:prstGeom>
        <a:solidFill>
          <a:schemeClr val="bg1"/>
        </a:solidFill>
        <a:ln>
          <a:solidFill>
            <a:srgbClr val="217346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ru" sz="1750" b="0" cap="none" spc="0" baseline="0">
              <a:ln>
                <a:noFill/>
              </a:ln>
              <a:solidFill>
                <a:srgbClr val="217346"/>
              </a:solidFill>
              <a:effectLst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Приступить &gt;</a:t>
          </a:r>
          <a:endParaRPr lang="en-US" sz="1750" b="0" cap="none" spc="0">
            <a:ln>
              <a:noFill/>
            </a:ln>
            <a:solidFill>
              <a:srgbClr val="217346"/>
            </a:solidFill>
            <a:effectLst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 fPrintsWithSheet="0"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364306</xdr:colOff>
      <xdr:row>0</xdr:row>
      <xdr:rowOff>352424</xdr:rowOff>
    </xdr:from>
    <xdr:to>
      <xdr:col>1</xdr:col>
      <xdr:colOff>5249867</xdr:colOff>
      <xdr:row>24</xdr:row>
      <xdr:rowOff>244724</xdr:rowOff>
    </xdr:to>
    <xdr:grpSp>
      <xdr:nvGrpSpPr>
        <xdr:cNvPr id="106" name="Группа 105">
          <a:extLst>
            <a:ext uri="{FF2B5EF4-FFF2-40B4-BE49-F238E27FC236}">
              <a16:creationId xmlns:a16="http://schemas.microsoft.com/office/drawing/2014/main" id="{B02C2868-90B4-49F8-9B54-D2DE144C06FB}"/>
            </a:ext>
          </a:extLst>
        </xdr:cNvPr>
        <xdr:cNvGrpSpPr/>
      </xdr:nvGrpSpPr>
      <xdr:grpSpPr>
        <a:xfrm>
          <a:off x="364306" y="352424"/>
          <a:ext cx="5733286" cy="5112000"/>
          <a:chOff x="333375" y="266699"/>
          <a:chExt cx="5695950" cy="5090782"/>
        </a:xfrm>
      </xdr:grpSpPr>
      <xdr:grpSp>
        <xdr:nvGrpSpPr>
          <xdr:cNvPr id="107" name="Инструкция по сложению чисел">
            <a:extLst>
              <a:ext uri="{FF2B5EF4-FFF2-40B4-BE49-F238E27FC236}">
                <a16:creationId xmlns:a16="http://schemas.microsoft.com/office/drawing/2014/main" id="{6A0EC01A-7B98-4483-A182-0263FDEAEC51}"/>
              </a:ext>
            </a:extLst>
          </xdr:cNvPr>
          <xdr:cNvGrpSpPr/>
        </xdr:nvGrpSpPr>
        <xdr:grpSpPr>
          <a:xfrm>
            <a:off x="333375" y="266699"/>
            <a:ext cx="5695950" cy="5090782"/>
            <a:chOff x="0" y="-1"/>
            <a:chExt cx="5695950" cy="5143810"/>
          </a:xfrm>
        </xdr:grpSpPr>
        <xdr:sp macro="" textlink="">
          <xdr:nvSpPr>
            <xdr:cNvPr id="121" name="Фоновый режим" descr="Фоновый режим">
              <a:extLst>
                <a:ext uri="{FF2B5EF4-FFF2-40B4-BE49-F238E27FC236}">
                  <a16:creationId xmlns:a16="http://schemas.microsoft.com/office/drawing/2014/main" id="{2147F87B-DB9B-4472-AAD1-ABC163A3B03F}"/>
                </a:ext>
              </a:extLst>
            </xdr:cNvPr>
            <xdr:cNvSpPr/>
          </xdr:nvSpPr>
          <xdr:spPr>
            <a:xfrm>
              <a:off x="0" y="-1"/>
              <a:ext cx="5695950" cy="5143810"/>
            </a:xfrm>
            <a:prstGeom prst="rect">
              <a:avLst/>
            </a:prstGeom>
            <a:solidFill>
              <a:srgbClr val="F5F5F5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endParaRPr lang="en-US" sz="1100"/>
            </a:p>
          </xdr:txBody>
        </xdr:sp>
        <xdr:sp macro="" textlink="">
          <xdr:nvSpPr>
            <xdr:cNvPr id="122" name="Шаг" descr="Основные сведения: математические расчеты в Excel&#10;">
              <a:extLst>
                <a:ext uri="{FF2B5EF4-FFF2-40B4-BE49-F238E27FC236}">
                  <a16:creationId xmlns:a16="http://schemas.microsoft.com/office/drawing/2014/main" id="{527A2F1F-8B85-44FB-84D2-005AA1509431}"/>
                </a:ext>
              </a:extLst>
            </xdr:cNvPr>
            <xdr:cNvSpPr txBox="1"/>
          </xdr:nvSpPr>
          <xdr:spPr>
            <a:xfrm>
              <a:off x="184433" y="118698"/>
              <a:ext cx="5216551" cy="8109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rIns="0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22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 Light" panose="020B0502040204020203" pitchFamily="34" charset="0"/>
                  <a:ea typeface="Segoe UI" pitchFamily="34" charset="0"/>
                  <a:cs typeface="Segoe UI Light" panose="020B0502040204020203" pitchFamily="34" charset="0"/>
                </a:rPr>
                <a:t>Основные сведения: математические расчеты в Excel</a:t>
              </a:r>
              <a:endParaRPr kumimoji="0" lang="en-US" sz="2200" b="1" i="1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endParaRPr>
            </a:p>
          </xdr:txBody>
        </xdr:sp>
        <xdr:sp macro="" textlink="">
          <xdr:nvSpPr>
            <xdr:cNvPr id="123" name="Кнопка «Подробнее»" descr="Подробнее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1CED4306-172A-4987-9E8C-4F8C83F698F2}"/>
                </a:ext>
              </a:extLst>
            </xdr:cNvPr>
            <xdr:cNvSpPr/>
          </xdr:nvSpPr>
          <xdr:spPr>
            <a:xfrm>
              <a:off x="234924" y="4523642"/>
              <a:ext cx="2723067" cy="536455"/>
            </a:xfrm>
            <a:prstGeom prst="downArrowCallou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rgbClr val="0B744D">
                  <a:alpha val="50000"/>
                </a:srgbClr>
              </a:solidFill>
              <a:miter lim="800000"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rtl="0"/>
              <a:r>
                <a:rPr lang="ru" sz="1200">
                  <a:solidFill>
                    <a:srgbClr val="0B744D"/>
                  </a:solidFill>
                  <a:latin typeface="Segoe UI" pitchFamily="34" charset="0"/>
                  <a:ea typeface="Segoe UI" pitchFamily="34" charset="0"/>
                  <a:cs typeface="Segoe UI" pitchFamily="34" charset="0"/>
                </a:rPr>
                <a:t>Подробнее</a:t>
              </a:r>
            </a:p>
          </xdr:txBody>
        </xdr:sp>
        <xdr:cxnSp macro="">
          <xdr:nvCxnSpPr>
            <xdr:cNvPr id="124" name="Нижняя линия" descr="Декоративная линия">
              <a:extLst>
                <a:ext uri="{FF2B5EF4-FFF2-40B4-BE49-F238E27FC236}">
                  <a16:creationId xmlns:a16="http://schemas.microsoft.com/office/drawing/2014/main" id="{50B75431-5A3C-410B-A96B-E6824F0F2D01}"/>
                </a:ext>
              </a:extLst>
            </xdr:cNvPr>
            <xdr:cNvCxnSpPr>
              <a:cxnSpLocks/>
            </xdr:cNvCxnSpPr>
          </xdr:nvCxnSpPr>
          <xdr:spPr>
            <a:xfrm>
              <a:off x="184433" y="4368390"/>
              <a:ext cx="5213376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5" name="Кнопка «Далее»" descr="Кнопка «Следующий шаг» с гиперссылкой на следующий шаг">
              <a:hlinkClick xmlns:r="http://schemas.openxmlformats.org/officeDocument/2006/relationships" r:id="rId2" tooltip="Щелкните здесь, чтобы перейти на следующий лист"/>
              <a:extLst>
                <a:ext uri="{FF2B5EF4-FFF2-40B4-BE49-F238E27FC236}">
                  <a16:creationId xmlns:a16="http://schemas.microsoft.com/office/drawing/2014/main" id="{B0BBFD4D-9951-4AC0-8CF1-AD7AD1715BA1}"/>
                </a:ext>
              </a:extLst>
            </xdr:cNvPr>
            <xdr:cNvSpPr/>
          </xdr:nvSpPr>
          <xdr:spPr>
            <a:xfrm>
              <a:off x="3830184" y="4523636"/>
              <a:ext cx="1609450" cy="348492"/>
            </a:xfrm>
            <a:prstGeom prst="rightArrowCallout">
              <a:avLst>
                <a:gd name="adj1" fmla="val 32829"/>
                <a:gd name="adj2" fmla="val 31524"/>
                <a:gd name="adj3" fmla="val 25000"/>
                <a:gd name="adj4" fmla="val 86357"/>
              </a:avLst>
            </a:prstGeom>
            <a:ln>
              <a:solidFill>
                <a:srgbClr val="0B744D"/>
              </a:solidFill>
              <a:miter lim="800000"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200">
                  <a:solidFill>
                    <a:srgbClr val="0B744D"/>
                  </a:solidFill>
                  <a:latin typeface="Segoe UI" pitchFamily="34" charset="0"/>
                  <a:ea typeface="Segoe UI" pitchFamily="34" charset="0"/>
                  <a:cs typeface="Segoe UI" pitchFamily="34" charset="0"/>
                </a:rPr>
                <a:t>Следующий шаг</a:t>
              </a:r>
            </a:p>
          </xdr:txBody>
        </xdr:sp>
        <xdr:cxnSp macro="">
          <xdr:nvCxnSpPr>
            <xdr:cNvPr id="126" name="Верхняя линия" descr="Декоративная линия">
              <a:extLst>
                <a:ext uri="{FF2B5EF4-FFF2-40B4-BE49-F238E27FC236}">
                  <a16:creationId xmlns:a16="http://schemas.microsoft.com/office/drawing/2014/main" id="{6E3272E8-3D34-4BC2-A3B8-CFAA0B7306AE}"/>
                </a:ext>
              </a:extLst>
            </xdr:cNvPr>
            <xdr:cNvCxnSpPr>
              <a:cxnSpLocks/>
            </xdr:cNvCxnSpPr>
          </xdr:nvCxnSpPr>
          <xdr:spPr>
            <a:xfrm>
              <a:off x="184433" y="1028650"/>
              <a:ext cx="5213376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текст_Шаг" descr="Вы можете складывать, вычитать, умножать и делить числа в Excel, не используя встроенные функции. Для этого потребуются только операторы +, -, *, /. Все формулы начинаются со знака равенства (=).">
            <a:extLst>
              <a:ext uri="{FF2B5EF4-FFF2-40B4-BE49-F238E27FC236}">
                <a16:creationId xmlns:a16="http://schemas.microsoft.com/office/drawing/2014/main" id="{8742DC30-0FF1-4950-98D1-1D4D2D7B33ED}"/>
              </a:ext>
            </a:extLst>
          </xdr:cNvPr>
          <xdr:cNvSpPr txBox="1"/>
        </xdr:nvSpPr>
        <xdr:spPr>
          <a:xfrm>
            <a:off x="451745" y="1392848"/>
            <a:ext cx="5284985" cy="7140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Вы можете складывать, вычитать, умножать и делить числа в Excel, не используя встроенные функции. Для этого потребуются только основные операторы: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+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,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-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,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*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,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/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 Все формулы начинаются со знака равенства (=).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grpSp>
        <xdr:nvGrpSpPr>
          <xdr:cNvPr id="109" name="группа_Шаг">
            <a:extLst>
              <a:ext uri="{FF2B5EF4-FFF2-40B4-BE49-F238E27FC236}">
                <a16:creationId xmlns:a16="http://schemas.microsoft.com/office/drawing/2014/main" id="{344307E7-8939-4DC6-90D0-121C6023E34E}"/>
              </a:ext>
            </a:extLst>
          </xdr:cNvPr>
          <xdr:cNvGrpSpPr/>
        </xdr:nvGrpSpPr>
        <xdr:grpSpPr>
          <a:xfrm>
            <a:off x="542925" y="2189086"/>
            <a:ext cx="5220101" cy="596219"/>
            <a:chOff x="609600" y="8208886"/>
            <a:chExt cx="5186234" cy="596219"/>
          </a:xfrm>
        </xdr:grpSpPr>
        <xdr:sp macro="" textlink="">
          <xdr:nvSpPr>
            <xdr:cNvPr id="119" name="текст_Шаг" descr="Чтобы сложить числа, выделите ячейку F3, введите =C3+C4, а затем нажмите клавишу ВВОД. &#10;">
              <a:extLst>
                <a:ext uri="{FF2B5EF4-FFF2-40B4-BE49-F238E27FC236}">
                  <a16:creationId xmlns:a16="http://schemas.microsoft.com/office/drawing/2014/main" id="{F002E929-4219-4978-A490-F2DD449CF4AA}"/>
                </a:ext>
              </a:extLst>
            </xdr:cNvPr>
            <xdr:cNvSpPr txBox="1"/>
          </xdr:nvSpPr>
          <xdr:spPr>
            <a:xfrm>
              <a:off x="1017295" y="8250858"/>
              <a:ext cx="4778539" cy="5542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Чтобы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сложить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числа, выделите ячейку F3, введите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=C3+C4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 а затем нажмите клавишу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ВВОД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120" name="фигура_Шаг" descr="2">
              <a:extLst>
                <a:ext uri="{FF2B5EF4-FFF2-40B4-BE49-F238E27FC236}">
                  <a16:creationId xmlns:a16="http://schemas.microsoft.com/office/drawing/2014/main" id="{2E6406AB-C476-48D1-BEA6-869A7184608F}"/>
                </a:ext>
              </a:extLst>
            </xdr:cNvPr>
            <xdr:cNvSpPr/>
          </xdr:nvSpPr>
          <xdr:spPr>
            <a:xfrm>
              <a:off x="609600" y="8208886"/>
              <a:ext cx="372191" cy="366865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1</a:t>
              </a:r>
            </a:p>
          </xdr:txBody>
        </xdr:sp>
      </xdr:grpSp>
      <xdr:grpSp>
        <xdr:nvGrpSpPr>
          <xdr:cNvPr id="110" name="группа_Шаг">
            <a:extLst>
              <a:ext uri="{FF2B5EF4-FFF2-40B4-BE49-F238E27FC236}">
                <a16:creationId xmlns:a16="http://schemas.microsoft.com/office/drawing/2014/main" id="{8FFCD9EA-E2D0-4CB7-A158-043B5D0A28C7}"/>
              </a:ext>
            </a:extLst>
          </xdr:cNvPr>
          <xdr:cNvGrpSpPr/>
        </xdr:nvGrpSpPr>
        <xdr:grpSpPr>
          <a:xfrm>
            <a:off x="542925" y="2732014"/>
            <a:ext cx="5220101" cy="596216"/>
            <a:chOff x="609600" y="8208889"/>
            <a:chExt cx="5186234" cy="596216"/>
          </a:xfrm>
        </xdr:grpSpPr>
        <xdr:sp macro="" textlink="">
          <xdr:nvSpPr>
            <xdr:cNvPr id="117" name="текст_Шаг" descr="Чтобы вычесть числа, выделите ячейку F4, введите =C3-C4, а затем нажмите клавишу ВВОД. &#10;">
              <a:extLst>
                <a:ext uri="{FF2B5EF4-FFF2-40B4-BE49-F238E27FC236}">
                  <a16:creationId xmlns:a16="http://schemas.microsoft.com/office/drawing/2014/main" id="{CADFDA66-201E-4B9E-93C9-81C8D7287166}"/>
                </a:ext>
              </a:extLst>
            </xdr:cNvPr>
            <xdr:cNvSpPr txBox="1"/>
          </xdr:nvSpPr>
          <xdr:spPr>
            <a:xfrm>
              <a:off x="1017295" y="8250858"/>
              <a:ext cx="4778539" cy="5542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Чтобы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вычесть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числа, выделите ячейку F4, введите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=C3-C4</a:t>
              </a:r>
              <a:r>
                <a:rPr lang="ru" sz="1100" b="0" i="0" kern="1200" baseline="0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, а затем нажмите клавишу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ВВОД.</a:t>
              </a:r>
              <a:r>
                <a:rPr lang="ru" sz="1100" b="0" i="0" kern="1200" baseline="0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 </a:t>
              </a: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118" name="фигура_Шаг" descr="3">
              <a:extLst>
                <a:ext uri="{FF2B5EF4-FFF2-40B4-BE49-F238E27FC236}">
                  <a16:creationId xmlns:a16="http://schemas.microsoft.com/office/drawing/2014/main" id="{30447D02-8C17-460D-8A68-AA7AAC297B58}"/>
                </a:ext>
              </a:extLst>
            </xdr:cNvPr>
            <xdr:cNvSpPr/>
          </xdr:nvSpPr>
          <xdr:spPr>
            <a:xfrm>
              <a:off x="609600" y="8208889"/>
              <a:ext cx="372191" cy="366865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2</a:t>
              </a:r>
            </a:p>
          </xdr:txBody>
        </xdr:sp>
      </xdr:grpSp>
      <xdr:grpSp>
        <xdr:nvGrpSpPr>
          <xdr:cNvPr id="111" name="группа_Шаг">
            <a:extLst>
              <a:ext uri="{FF2B5EF4-FFF2-40B4-BE49-F238E27FC236}">
                <a16:creationId xmlns:a16="http://schemas.microsoft.com/office/drawing/2014/main" id="{F7FEC8A2-A21F-4408-8113-8AAE6773DEF1}"/>
              </a:ext>
            </a:extLst>
          </xdr:cNvPr>
          <xdr:cNvGrpSpPr/>
        </xdr:nvGrpSpPr>
        <xdr:grpSpPr>
          <a:xfrm>
            <a:off x="533400" y="3293991"/>
            <a:ext cx="5220101" cy="596214"/>
            <a:chOff x="609600" y="8208891"/>
            <a:chExt cx="5186234" cy="596214"/>
          </a:xfrm>
        </xdr:grpSpPr>
        <xdr:sp macro="" textlink="">
          <xdr:nvSpPr>
            <xdr:cNvPr id="115" name="текст_Шаг" descr="Чтобы умножить числа, выделите ячейку F5, введите =C3*C4, а затем нажмите клавишу ВВОД.&#10;">
              <a:extLst>
                <a:ext uri="{FF2B5EF4-FFF2-40B4-BE49-F238E27FC236}">
                  <a16:creationId xmlns:a16="http://schemas.microsoft.com/office/drawing/2014/main" id="{A750B84C-D9FA-4307-B87D-B03500BD1295}"/>
                </a:ext>
              </a:extLst>
            </xdr:cNvPr>
            <xdr:cNvSpPr txBox="1"/>
          </xdr:nvSpPr>
          <xdr:spPr>
            <a:xfrm>
              <a:off x="1017295" y="8250858"/>
              <a:ext cx="4778539" cy="5542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Чтобы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умножить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числа, выделите ячейку F5, введите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=C3*C4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 а затем нажмите клавишу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ВВОД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116" name="фигура_Шаг" descr="4">
              <a:extLst>
                <a:ext uri="{FF2B5EF4-FFF2-40B4-BE49-F238E27FC236}">
                  <a16:creationId xmlns:a16="http://schemas.microsoft.com/office/drawing/2014/main" id="{301F9E0F-B2AD-4808-8E07-2DD27EAA8710}"/>
                </a:ext>
              </a:extLst>
            </xdr:cNvPr>
            <xdr:cNvSpPr/>
          </xdr:nvSpPr>
          <xdr:spPr>
            <a:xfrm>
              <a:off x="609600" y="8208891"/>
              <a:ext cx="372191" cy="366865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3</a:t>
              </a:r>
            </a:p>
          </xdr:txBody>
        </xdr:sp>
      </xdr:grpSp>
      <xdr:grpSp>
        <xdr:nvGrpSpPr>
          <xdr:cNvPr id="112" name="группа_Шаг">
            <a:extLst>
              <a:ext uri="{FF2B5EF4-FFF2-40B4-BE49-F238E27FC236}">
                <a16:creationId xmlns:a16="http://schemas.microsoft.com/office/drawing/2014/main" id="{408F37C5-7518-41B6-95C9-BDDF6E7642EF}"/>
              </a:ext>
            </a:extLst>
          </xdr:cNvPr>
          <xdr:cNvGrpSpPr/>
        </xdr:nvGrpSpPr>
        <xdr:grpSpPr>
          <a:xfrm>
            <a:off x="542925" y="3855961"/>
            <a:ext cx="5220101" cy="596198"/>
            <a:chOff x="609600" y="8208886"/>
            <a:chExt cx="5186234" cy="596198"/>
          </a:xfrm>
        </xdr:grpSpPr>
        <xdr:sp macro="" textlink="">
          <xdr:nvSpPr>
            <xdr:cNvPr id="113" name="текст_Шаг" descr="Чтобы поделить числа, выделите ячейку F6, введите =C3/C4, а затем нажмите клавишу ВВОД.&#10;">
              <a:extLst>
                <a:ext uri="{FF2B5EF4-FFF2-40B4-BE49-F238E27FC236}">
                  <a16:creationId xmlns:a16="http://schemas.microsoft.com/office/drawing/2014/main" id="{9799513C-69A2-449B-AD71-86A24AC167F3}"/>
                </a:ext>
              </a:extLst>
            </xdr:cNvPr>
            <xdr:cNvSpPr txBox="1"/>
          </xdr:nvSpPr>
          <xdr:spPr>
            <a:xfrm>
              <a:off x="1017295" y="8250840"/>
              <a:ext cx="4778539" cy="55424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Чтобы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поделить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числа, выделите ячейку F6, введите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=C3/C4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 а затем нажмите клавишу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ВВОД.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114" name="фигура_Шаг" descr="5">
              <a:extLst>
                <a:ext uri="{FF2B5EF4-FFF2-40B4-BE49-F238E27FC236}">
                  <a16:creationId xmlns:a16="http://schemas.microsoft.com/office/drawing/2014/main" id="{5F788989-D02F-42F0-AAEB-46D2CBCF5550}"/>
                </a:ext>
              </a:extLst>
            </xdr:cNvPr>
            <xdr:cNvSpPr/>
          </xdr:nvSpPr>
          <xdr:spPr>
            <a:xfrm>
              <a:off x="609600" y="8208886"/>
              <a:ext cx="372191" cy="366865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4</a:t>
              </a:r>
            </a:p>
          </xdr:txBody>
        </xdr:sp>
      </xdr:grpSp>
    </xdr:grpSp>
    <xdr:clientData/>
  </xdr:twoCellAnchor>
  <xdr:twoCellAnchor editAs="absolute">
    <xdr:from>
      <xdr:col>0</xdr:col>
      <xdr:colOff>354781</xdr:colOff>
      <xdr:row>25</xdr:row>
      <xdr:rowOff>0</xdr:rowOff>
    </xdr:from>
    <xdr:to>
      <xdr:col>1</xdr:col>
      <xdr:colOff>5240344</xdr:colOff>
      <xdr:row>61</xdr:row>
      <xdr:rowOff>163125</xdr:rowOff>
    </xdr:to>
    <xdr:sp macro="" textlink="">
      <xdr:nvSpPr>
        <xdr:cNvPr id="128" name="Прямоугольник 127" descr="Фон">
          <a:extLst>
            <a:ext uri="{FF2B5EF4-FFF2-40B4-BE49-F238E27FC236}">
              <a16:creationId xmlns:a16="http://schemas.microsoft.com/office/drawing/2014/main" id="{C6DA8A49-5A77-4AE2-BD39-5BC07FDB559E}"/>
            </a:ext>
          </a:extLst>
        </xdr:cNvPr>
        <xdr:cNvSpPr/>
      </xdr:nvSpPr>
      <xdr:spPr>
        <a:xfrm>
          <a:off x="354781" y="5638800"/>
          <a:ext cx="5733288" cy="7164000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 rtl="0"/>
          <a:endParaRPr lang="en-US" sz="1100"/>
        </a:p>
      </xdr:txBody>
    </xdr:sp>
    <xdr:clientData/>
  </xdr:twoCellAnchor>
  <xdr:twoCellAnchor editAs="absolute">
    <xdr:from>
      <xdr:col>0</xdr:col>
      <xdr:colOff>554806</xdr:colOff>
      <xdr:row>29</xdr:row>
      <xdr:rowOff>5646</xdr:rowOff>
    </xdr:from>
    <xdr:to>
      <xdr:col>1</xdr:col>
      <xdr:colOff>4958126</xdr:colOff>
      <xdr:row>29</xdr:row>
      <xdr:rowOff>5646</xdr:rowOff>
    </xdr:to>
    <xdr:cxnSp macro="">
      <xdr:nvCxnSpPr>
        <xdr:cNvPr id="129" name="Прямая соединительная линия 128" descr="Декоративная линия">
          <a:extLst>
            <a:ext uri="{FF2B5EF4-FFF2-40B4-BE49-F238E27FC236}">
              <a16:creationId xmlns:a16="http://schemas.microsoft.com/office/drawing/2014/main" id="{A37B1A9B-7A4A-4AFE-83FF-68ED0AF60BB5}"/>
            </a:ext>
          </a:extLst>
        </xdr:cNvPr>
        <xdr:cNvCxnSpPr>
          <a:cxnSpLocks/>
        </xdr:cNvCxnSpPr>
      </xdr:nvCxnSpPr>
      <xdr:spPr>
        <a:xfrm>
          <a:off x="554806" y="6549321"/>
          <a:ext cx="5251045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554806</xdr:colOff>
      <xdr:row>58</xdr:row>
      <xdr:rowOff>91714</xdr:rowOff>
    </xdr:from>
    <xdr:to>
      <xdr:col>1</xdr:col>
      <xdr:colOff>4958126</xdr:colOff>
      <xdr:row>58</xdr:row>
      <xdr:rowOff>91714</xdr:rowOff>
    </xdr:to>
    <xdr:cxnSp macro="">
      <xdr:nvCxnSpPr>
        <xdr:cNvPr id="130" name="Прямая соединительная линия 129" descr="Декоративная линия">
          <a:extLst>
            <a:ext uri="{FF2B5EF4-FFF2-40B4-BE49-F238E27FC236}">
              <a16:creationId xmlns:a16="http://schemas.microsoft.com/office/drawing/2014/main" id="{54D32FC2-4A3C-44C6-8554-5D7D5A124DFA}"/>
            </a:ext>
          </a:extLst>
        </xdr:cNvPr>
        <xdr:cNvCxnSpPr>
          <a:cxnSpLocks/>
        </xdr:cNvCxnSpPr>
      </xdr:nvCxnSpPr>
      <xdr:spPr>
        <a:xfrm>
          <a:off x="554806" y="12159889"/>
          <a:ext cx="5251045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554806</xdr:colOff>
      <xdr:row>25</xdr:row>
      <xdr:rowOff>12266</xdr:rowOff>
    </xdr:from>
    <xdr:to>
      <xdr:col>1</xdr:col>
      <xdr:colOff>4961299</xdr:colOff>
      <xdr:row>28</xdr:row>
      <xdr:rowOff>104774</xdr:rowOff>
    </xdr:to>
    <xdr:sp macro="" textlink="">
      <xdr:nvSpPr>
        <xdr:cNvPr id="131" name="Шаг" descr="Немного о формулах, ячейках и диапазонах&#10;">
          <a:extLst>
            <a:ext uri="{FF2B5EF4-FFF2-40B4-BE49-F238E27FC236}">
              <a16:creationId xmlns:a16="http://schemas.microsoft.com/office/drawing/2014/main" id="{357DDA9A-4748-449A-87E8-7D577E6B6F8E}"/>
            </a:ext>
          </a:extLst>
        </xdr:cNvPr>
        <xdr:cNvSpPr txBox="1"/>
      </xdr:nvSpPr>
      <xdr:spPr>
        <a:xfrm>
          <a:off x="554806" y="5651066"/>
          <a:ext cx="5254218" cy="8068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22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Немного о формулах, ячейках и диапазонах</a:t>
          </a:r>
          <a:endParaRPr lang="en-US" sz="2200" b="0">
            <a:solidFill>
              <a:schemeClr val="bg2">
                <a:lumMod val="25000"/>
              </a:schemeClr>
            </a:solidFill>
            <a:effectLst/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469081</xdr:colOff>
      <xdr:row>29</xdr:row>
      <xdr:rowOff>94389</xdr:rowOff>
    </xdr:from>
    <xdr:to>
      <xdr:col>1</xdr:col>
      <xdr:colOff>4915399</xdr:colOff>
      <xdr:row>33</xdr:row>
      <xdr:rowOff>123825</xdr:rowOff>
    </xdr:to>
    <xdr:sp macro="" textlink="">
      <xdr:nvSpPr>
        <xdr:cNvPr id="132" name="текст_Шаг" descr="Листы Excel состоят из ячеек, которые сгруппированы по строкам и столбцам. Строкам присвоены номера, а столбцам — буквы. На листе 1 048 576 строк и 16 384 столбца, и вы можете вставлять формулы и функции в любые ячейки на их пересечении.">
          <a:extLst>
            <a:ext uri="{FF2B5EF4-FFF2-40B4-BE49-F238E27FC236}">
              <a16:creationId xmlns:a16="http://schemas.microsoft.com/office/drawing/2014/main" id="{C309FDDD-7DD5-4C0A-A9F5-43E33DAD131C}"/>
            </a:ext>
          </a:extLst>
        </xdr:cNvPr>
        <xdr:cNvSpPr txBox="1"/>
      </xdr:nvSpPr>
      <xdr:spPr>
        <a:xfrm>
          <a:off x="469081" y="6638064"/>
          <a:ext cx="5294043" cy="7914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Листы Excel состоят из ячеек, которые сгруппированы по строкам и столбцам. Строкам присвоены номера, а столбцам — буквы. На листе больше миллиона строк и 16 000 столбцов, и вы можете вставлять формулы в любые ячейки на их пересечении.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469081</xdr:colOff>
      <xdr:row>34</xdr:row>
      <xdr:rowOff>4353</xdr:rowOff>
    </xdr:from>
    <xdr:to>
      <xdr:col>1</xdr:col>
      <xdr:colOff>4915399</xdr:colOff>
      <xdr:row>40</xdr:row>
      <xdr:rowOff>120370</xdr:rowOff>
    </xdr:to>
    <xdr:sp macro="" textlink="">
      <xdr:nvSpPr>
        <xdr:cNvPr id="133" name="текст_Шаг" descr="Формулы могут содержать ссылки на ячейки, диапазоны, операторы и константы. Вот примеры формул:&#10;&#10;=A1+B1&#10;=10*20&#10;=СУММ(A1:A10)&#10;&#10;">
          <a:extLst>
            <a:ext uri="{FF2B5EF4-FFF2-40B4-BE49-F238E27FC236}">
              <a16:creationId xmlns:a16="http://schemas.microsoft.com/office/drawing/2014/main" id="{DE5F2A61-4B42-4344-8A7F-D8616CB59479}"/>
            </a:ext>
          </a:extLst>
        </xdr:cNvPr>
        <xdr:cNvSpPr txBox="1"/>
      </xdr:nvSpPr>
      <xdr:spPr>
        <a:xfrm>
          <a:off x="469081" y="7500528"/>
          <a:ext cx="5294043" cy="1259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Формулы могут содержать ссылки на ячейки, диапазоны, операторы и константы. Вот примеры формул:</a:t>
          </a:r>
        </a:p>
        <a:p>
          <a:pPr marL="457200" marR="0" lvl="1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1" i="0" u="none" strike="noStrike" kern="0" cap="none" spc="0" normalizeH="0" baseline="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457200" marR="0" lvl="1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1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=A1+B1</a:t>
          </a:r>
        </a:p>
        <a:p>
          <a:pPr marL="457200" marR="0" lvl="1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1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=10+20</a:t>
          </a:r>
        </a:p>
        <a:p>
          <a:pPr marL="457200" marR="0" lvl="1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1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=СУММ(A1:A10)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469081</xdr:colOff>
      <xdr:row>40</xdr:row>
      <xdr:rowOff>71590</xdr:rowOff>
    </xdr:from>
    <xdr:to>
      <xdr:col>1</xdr:col>
      <xdr:colOff>5050606</xdr:colOff>
      <xdr:row>47</xdr:row>
      <xdr:rowOff>123825</xdr:rowOff>
    </xdr:to>
    <xdr:sp macro="" textlink="">
      <xdr:nvSpPr>
        <xdr:cNvPr id="134" name="текст_Шаг" descr="Как вы заметили, в третьем примере мы использовали функцию СУММ. Функция — это встроенная команда, которая принимает значения, определенным образом обрабатывает их и возвращает результат. Например, функция СУММ принимает в качестве значений ссылки на ячейки или диапазоны и суммирует их. В данном примере она вычисляет сумму значений в ячейках с A1 по A10. В Excel более 400 функций, и все их можно найти на вкладке «Формулы».&#10;">
          <a:extLst>
            <a:ext uri="{FF2B5EF4-FFF2-40B4-BE49-F238E27FC236}">
              <a16:creationId xmlns:a16="http://schemas.microsoft.com/office/drawing/2014/main" id="{73D9B0E0-3581-491E-A150-07F5BAA0F86D}"/>
            </a:ext>
          </a:extLst>
        </xdr:cNvPr>
        <xdr:cNvSpPr txBox="1"/>
      </xdr:nvSpPr>
      <xdr:spPr>
        <a:xfrm>
          <a:off x="469081" y="8710765"/>
          <a:ext cx="5429250" cy="13857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Как вы заметили, в третьем примере мы использовали функцию </a:t>
          </a:r>
          <a:r>
            <a:rPr lang="ru" sz="1100" b="1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СУММ</a:t>
          </a: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. Функция — это встроенная команда, которая принимает значения, определенным образом обрабатывает их и возвращает результат. Например, функция </a:t>
          </a:r>
          <a:r>
            <a:rPr lang="ru" sz="1100" b="1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СУММ</a:t>
          </a: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 принимает в качестве значений ссылки на ячейки или диапазоны и суммирует их. В данном примере она вычисляет сумму значений в ячейках с A1 по A10. В Excel более 400 функций, и все их можно найти на вкладке </a:t>
          </a:r>
          <a:r>
            <a:rPr lang="ru" sz="1100" b="1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Формулы</a:t>
          </a: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469081</xdr:colOff>
      <xdr:row>47</xdr:row>
      <xdr:rowOff>176684</xdr:rowOff>
    </xdr:from>
    <xdr:to>
      <xdr:col>1</xdr:col>
      <xdr:colOff>5022031</xdr:colOff>
      <xdr:row>51</xdr:row>
      <xdr:rowOff>28575</xdr:rowOff>
    </xdr:to>
    <xdr:sp macro="" textlink="">
      <xdr:nvSpPr>
        <xdr:cNvPr id="135" name="текст_Шаг" descr="Формулы с функциями начинаются со знака равенства, за которым следуют имя функции и ее аргументы (значения, которые функция использует для вычисления), заключенные в круглые скобки. &#10;&#10;">
          <a:extLst>
            <a:ext uri="{FF2B5EF4-FFF2-40B4-BE49-F238E27FC236}">
              <a16:creationId xmlns:a16="http://schemas.microsoft.com/office/drawing/2014/main" id="{066FFF9C-96C0-4C5A-AFA6-27C4951F9C44}"/>
            </a:ext>
          </a:extLst>
        </xdr:cNvPr>
        <xdr:cNvSpPr txBox="1"/>
      </xdr:nvSpPr>
      <xdr:spPr>
        <a:xfrm>
          <a:off x="469081" y="10149359"/>
          <a:ext cx="5400675" cy="6138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Формулы с функциями начинаются со знака равенства, за которым следуют имя функции и ее аргументы (значения, которые функция использует для вычисления), заключенные в круглые скобки.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469081</xdr:colOff>
      <xdr:row>51</xdr:row>
      <xdr:rowOff>102935</xdr:rowOff>
    </xdr:from>
    <xdr:to>
      <xdr:col>1</xdr:col>
      <xdr:colOff>5031556</xdr:colOff>
      <xdr:row>57</xdr:row>
      <xdr:rowOff>152400</xdr:rowOff>
    </xdr:to>
    <xdr:sp macro="" textlink="">
      <xdr:nvSpPr>
        <xdr:cNvPr id="136" name="текст_Шаг" descr="Чтобы подтвердить формулу, нужно нажать клавишу ВВОД. После этого формула будет вычислена, а результат отобразится в ячейке. Чтобы просмотреть саму формулу, взгляните на строку формул под лентой или нажмите клавишу F2, чтобы перейти в режим правки, в котором формула выводится в ячейке. Нажмите клавишу ВВОД еще раз, чтобы завершить работу над формулой и вычислить результат.&#10;">
          <a:extLst>
            <a:ext uri="{FF2B5EF4-FFF2-40B4-BE49-F238E27FC236}">
              <a16:creationId xmlns:a16="http://schemas.microsoft.com/office/drawing/2014/main" id="{5586BF07-B001-4F35-B7E4-70A08A528E83}"/>
            </a:ext>
          </a:extLst>
        </xdr:cNvPr>
        <xdr:cNvSpPr txBox="1"/>
      </xdr:nvSpPr>
      <xdr:spPr>
        <a:xfrm>
          <a:off x="469081" y="10837610"/>
          <a:ext cx="5410200" cy="1192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Чтобы подтвердить формулу, нужно нажать клавишу </a:t>
          </a:r>
          <a:r>
            <a:rPr lang="ru" sz="1100" b="1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ВВОД</a:t>
          </a: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. После этого формула будет вычислена, а результат отобразится в ячейке. Чтобы просмотреть саму формулу, взгляните на строку формул под лентой или нажмите клавишу </a:t>
          </a:r>
          <a:r>
            <a:rPr lang="ru" sz="1100" b="1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F2</a:t>
          </a: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, чтобы перейти в режим правки, в котором формула выводится в ячейке. Нажмите клавишу </a:t>
          </a:r>
          <a:r>
            <a:rPr lang="ru" sz="1100" b="1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ВВОД</a:t>
          </a: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 еще раз, чтобы завершить работу над формулой и вычислить результат.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478606</xdr:colOff>
      <xdr:row>59</xdr:row>
      <xdr:rowOff>34437</xdr:rowOff>
    </xdr:from>
    <xdr:to>
      <xdr:col>1</xdr:col>
      <xdr:colOff>906051</xdr:colOff>
      <xdr:row>60</xdr:row>
      <xdr:rowOff>179386</xdr:rowOff>
    </xdr:to>
    <xdr:sp macro="" textlink="">
      <xdr:nvSpPr>
        <xdr:cNvPr id="137" name="Кнопка«Назад»" descr="Вернуться на предыдущий лист">
          <a:hlinkClick xmlns:r="http://schemas.openxmlformats.org/officeDocument/2006/relationships" r:id="rId3" tooltip="Щелкните здесь, чтобы вернуться на предыдущий лист"/>
          <a:extLst>
            <a:ext uri="{FF2B5EF4-FFF2-40B4-BE49-F238E27FC236}">
              <a16:creationId xmlns:a16="http://schemas.microsoft.com/office/drawing/2014/main" id="{BEFD400E-6244-40BE-8D92-330023967DDC}"/>
            </a:ext>
          </a:extLst>
        </xdr:cNvPr>
        <xdr:cNvSpPr/>
      </xdr:nvSpPr>
      <xdr:spPr>
        <a:xfrm flipH="1">
          <a:off x="478606" y="12293112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1</xdr:col>
      <xdr:colOff>3591742</xdr:colOff>
      <xdr:row>59</xdr:row>
      <xdr:rowOff>34437</xdr:rowOff>
    </xdr:from>
    <xdr:to>
      <xdr:col>1</xdr:col>
      <xdr:colOff>4866912</xdr:colOff>
      <xdr:row>60</xdr:row>
      <xdr:rowOff>179386</xdr:rowOff>
    </xdr:to>
    <xdr:sp macro="" textlink="">
      <xdr:nvSpPr>
        <xdr:cNvPr id="138" name="Кнопка«Далее»" descr="Перейти к следующему листу">
          <a:hlinkClick xmlns:r="http://schemas.openxmlformats.org/officeDocument/2006/relationships" r:id="rId2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DD56E08A-C3A9-475A-87AB-52A78D988C6C}"/>
            </a:ext>
          </a:extLst>
        </xdr:cNvPr>
        <xdr:cNvSpPr/>
      </xdr:nvSpPr>
      <xdr:spPr>
        <a:xfrm>
          <a:off x="4439467" y="12293112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5</xdr:col>
      <xdr:colOff>469081</xdr:colOff>
      <xdr:row>6</xdr:row>
      <xdr:rowOff>114300</xdr:rowOff>
    </xdr:from>
    <xdr:to>
      <xdr:col>8</xdr:col>
      <xdr:colOff>485777</xdr:colOff>
      <xdr:row>15</xdr:row>
      <xdr:rowOff>18673</xdr:rowOff>
    </xdr:to>
    <xdr:grpSp>
      <xdr:nvGrpSpPr>
        <xdr:cNvPr id="139" name="ДОПОЛНИТЕЛЬНО" descr="ДОПОЛНИТЕЛЬНО&#10;&#10;">
          <a:extLst>
            <a:ext uri="{FF2B5EF4-FFF2-40B4-BE49-F238E27FC236}">
              <a16:creationId xmlns:a16="http://schemas.microsoft.com/office/drawing/2014/main" id="{34B095E6-B82C-4533-81A2-82946450BAFD}"/>
            </a:ext>
          </a:extLst>
        </xdr:cNvPr>
        <xdr:cNvGrpSpPr/>
      </xdr:nvGrpSpPr>
      <xdr:grpSpPr>
        <a:xfrm>
          <a:off x="9755956" y="1895475"/>
          <a:ext cx="2559871" cy="1628398"/>
          <a:chOff x="9048750" y="3743325"/>
          <a:chExt cx="2544923" cy="1628398"/>
        </a:xfrm>
      </xdr:grpSpPr>
      <xdr:sp macro="" textlink="">
        <xdr:nvSpPr>
          <xdr:cNvPr id="140" name="Шаг" descr="ДОПОЛНИТЕЛЬНО&#10;Чтобы возвести значение в степень, используйте символ крышки (^), например: =A1^A2. Для ввода формулы нажмите SHIFT+6.&#10;">
            <a:extLst>
              <a:ext uri="{FF2B5EF4-FFF2-40B4-BE49-F238E27FC236}">
                <a16:creationId xmlns:a16="http://schemas.microsoft.com/office/drawing/2014/main" id="{675C53E6-D7B5-493F-A9ED-94DE7985453E}"/>
              </a:ext>
            </a:extLst>
          </xdr:cNvPr>
          <xdr:cNvSpPr txBox="1"/>
        </xdr:nvSpPr>
        <xdr:spPr>
          <a:xfrm>
            <a:off x="9648644" y="3895723"/>
            <a:ext cx="1945029" cy="1476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" panose="020B0502040204020203" pitchFamily="34" charset="0"/>
              </a:rPr>
              <a:t>ДОПОЛНИТЕЛЬНО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Чтобы возвести значение в степень, используйте символ крышки (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^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), например: =C3^C4. Для ввода формулы нажмите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SHIFT+6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.</a:t>
            </a:r>
          </a:p>
        </xdr:txBody>
      </xdr:sp>
      <xdr:pic>
        <xdr:nvPicPr>
          <xdr:cNvPr id="141" name="Лента «Дополнительно»" descr="Декоративная лента">
            <a:extLst>
              <a:ext uri="{FF2B5EF4-FFF2-40B4-BE49-F238E27FC236}">
                <a16:creationId xmlns:a16="http://schemas.microsoft.com/office/drawing/2014/main" id="{8CCDA131-B8EE-49BF-B978-9C80B0D5FA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9287099" y="3950551"/>
            <a:ext cx="474289" cy="439736"/>
          </a:xfrm>
          <a:prstGeom prst="rect">
            <a:avLst/>
          </a:prstGeom>
        </xdr:spPr>
      </xdr:pic>
      <xdr:sp macro="" textlink="">
        <xdr:nvSpPr>
          <xdr:cNvPr id="142" name="Стрелка «Дополнительно»" descr="Стрелка">
            <a:extLst>
              <a:ext uri="{FF2B5EF4-FFF2-40B4-BE49-F238E27FC236}">
                <a16:creationId xmlns:a16="http://schemas.microsoft.com/office/drawing/2014/main" id="{F2D8B853-541C-481F-8BBF-E827C4DE7D61}"/>
              </a:ext>
            </a:extLst>
          </xdr:cNvPr>
          <xdr:cNvSpPr/>
        </xdr:nvSpPr>
        <xdr:spPr>
          <a:xfrm rot="15682076" flipH="1">
            <a:off x="9021478" y="3770597"/>
            <a:ext cx="462029" cy="407486"/>
          </a:xfrm>
          <a:prstGeom prst="arc">
            <a:avLst>
              <a:gd name="adj1" fmla="val 15011426"/>
              <a:gd name="adj2" fmla="val 672396"/>
            </a:avLst>
          </a:prstGeom>
          <a:ln w="19050">
            <a:solidFill>
              <a:schemeClr val="accent2">
                <a:lumMod val="60000"/>
                <a:lumOff val="40000"/>
              </a:schemeClr>
            </a:solidFill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  <xdr:twoCellAnchor editAs="absolute">
    <xdr:from>
      <xdr:col>0</xdr:col>
      <xdr:colOff>352425</xdr:colOff>
      <xdr:row>62</xdr:row>
      <xdr:rowOff>190498</xdr:rowOff>
    </xdr:from>
    <xdr:to>
      <xdr:col>1</xdr:col>
      <xdr:colOff>5237988</xdr:colOff>
      <xdr:row>78</xdr:row>
      <xdr:rowOff>22498</xdr:rowOff>
    </xdr:to>
    <xdr:grpSp>
      <xdr:nvGrpSpPr>
        <xdr:cNvPr id="143" name="Группа 142">
          <a:extLst>
            <a:ext uri="{FF2B5EF4-FFF2-40B4-BE49-F238E27FC236}">
              <a16:creationId xmlns:a16="http://schemas.microsoft.com/office/drawing/2014/main" id="{79AC946A-932E-4F38-8B0A-9F23F83F1E52}"/>
            </a:ext>
          </a:extLst>
        </xdr:cNvPr>
        <xdr:cNvGrpSpPr/>
      </xdr:nvGrpSpPr>
      <xdr:grpSpPr>
        <a:xfrm>
          <a:off x="352425" y="13020673"/>
          <a:ext cx="5733288" cy="2880000"/>
          <a:chOff x="350069" y="11620498"/>
          <a:chExt cx="5733288" cy="2880000"/>
        </a:xfrm>
      </xdr:grpSpPr>
      <xdr:sp macro="" textlink="">
        <xdr:nvSpPr>
          <xdr:cNvPr id="144" name="Прямоугольник 143">
            <a:extLst>
              <a:ext uri="{FF2B5EF4-FFF2-40B4-BE49-F238E27FC236}">
                <a16:creationId xmlns:a16="http://schemas.microsoft.com/office/drawing/2014/main" id="{03611DF3-2DDC-4C9F-9BD2-1914CDC70236}"/>
              </a:ext>
            </a:extLst>
          </xdr:cNvPr>
          <xdr:cNvSpPr/>
        </xdr:nvSpPr>
        <xdr:spPr>
          <a:xfrm>
            <a:off x="350069" y="11620498"/>
            <a:ext cx="5733288" cy="2880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/>
          </a:p>
        </xdr:txBody>
      </xdr:sp>
      <xdr:sp macro="" textlink="">
        <xdr:nvSpPr>
          <xdr:cNvPr id="145" name="Шаг" descr="Дополнительные сведения в Интернете&#10;">
            <a:extLst>
              <a:ext uri="{FF2B5EF4-FFF2-40B4-BE49-F238E27FC236}">
                <a16:creationId xmlns:a16="http://schemas.microsoft.com/office/drawing/2014/main" id="{688CB3AD-6B8F-4152-822F-68C8F1EEED97}"/>
              </a:ext>
            </a:extLst>
          </xdr:cNvPr>
          <xdr:cNvSpPr txBox="1"/>
        </xdr:nvSpPr>
        <xdr:spPr>
          <a:xfrm>
            <a:off x="572393" y="11629541"/>
            <a:ext cx="5043964" cy="4151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Дополнительные сведения в Интернете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cxnSp macro="">
        <xdr:nvCxnSpPr>
          <xdr:cNvPr id="146" name="Прямая соединительная линия 145" descr="Декоративная линия">
            <a:extLst>
              <a:ext uri="{FF2B5EF4-FFF2-40B4-BE49-F238E27FC236}">
                <a16:creationId xmlns:a16="http://schemas.microsoft.com/office/drawing/2014/main" id="{78299991-CCE6-4F28-81F0-C743EF2F129C}"/>
              </a:ext>
            </a:extLst>
          </xdr:cNvPr>
          <xdr:cNvCxnSpPr>
            <a:cxnSpLocks/>
          </xdr:cNvCxnSpPr>
        </xdr:nvCxnSpPr>
        <xdr:spPr>
          <a:xfrm>
            <a:off x="575439" y="12154546"/>
            <a:ext cx="528137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7" name="Прямая соединительная линия 146" descr="Декоративная линия">
            <a:extLst>
              <a:ext uri="{FF2B5EF4-FFF2-40B4-BE49-F238E27FC236}">
                <a16:creationId xmlns:a16="http://schemas.microsoft.com/office/drawing/2014/main" id="{C7CE393B-0A40-460B-ADC7-32213AED6195}"/>
              </a:ext>
            </a:extLst>
          </xdr:cNvPr>
          <xdr:cNvCxnSpPr>
            <a:cxnSpLocks/>
          </xdr:cNvCxnSpPr>
        </xdr:nvCxnSpPr>
        <xdr:spPr>
          <a:xfrm>
            <a:off x="575438" y="14343788"/>
            <a:ext cx="5285232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0</xdr:col>
      <xdr:colOff>555326</xdr:colOff>
      <xdr:row>66</xdr:row>
      <xdr:rowOff>112895</xdr:rowOff>
    </xdr:from>
    <xdr:to>
      <xdr:col>1</xdr:col>
      <xdr:colOff>3990974</xdr:colOff>
      <xdr:row>68</xdr:row>
      <xdr:rowOff>109668</xdr:rowOff>
    </xdr:to>
    <xdr:grpSp>
      <xdr:nvGrpSpPr>
        <xdr:cNvPr id="148" name="Группа 147">
          <a:extLst>
            <a:ext uri="{FF2B5EF4-FFF2-40B4-BE49-F238E27FC236}">
              <a16:creationId xmlns:a16="http://schemas.microsoft.com/office/drawing/2014/main" id="{CA7B2371-3B06-4B9B-9469-235F43CE38D0}"/>
            </a:ext>
          </a:extLst>
        </xdr:cNvPr>
        <xdr:cNvGrpSpPr/>
      </xdr:nvGrpSpPr>
      <xdr:grpSpPr>
        <a:xfrm>
          <a:off x="555326" y="13705070"/>
          <a:ext cx="4283373" cy="377773"/>
          <a:chOff x="552970" y="11990570"/>
          <a:chExt cx="4283373" cy="377773"/>
        </a:xfrm>
      </xdr:grpSpPr>
      <xdr:sp macro="" textlink="">
        <xdr:nvSpPr>
          <xdr:cNvPr id="149" name="Шаг" descr="Гиперссылка на веб-страницу о функции СРЗНАЧ&#10;&#10;">
            <a:hlinkClick xmlns:r="http://schemas.openxmlformats.org/officeDocument/2006/relationships" r:id="rId6" tooltip="Сведения в Интернете об использовании Excel в качестве калькулятора"/>
            <a:extLst>
              <a:ext uri="{FF2B5EF4-FFF2-40B4-BE49-F238E27FC236}">
                <a16:creationId xmlns:a16="http://schemas.microsoft.com/office/drawing/2014/main" id="{94DAAE3B-3571-4AC2-BCCC-AD998F75E3DC}"/>
              </a:ext>
            </a:extLst>
          </xdr:cNvPr>
          <xdr:cNvSpPr txBox="1"/>
        </xdr:nvSpPr>
        <xdr:spPr>
          <a:xfrm>
            <a:off x="1002466" y="12068801"/>
            <a:ext cx="3833877" cy="267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Использование Microsoft Excel в качестве калькулятора</a:t>
            </a:r>
          </a:p>
        </xdr:txBody>
      </xdr:sp>
      <xdr:pic>
        <xdr:nvPicPr>
          <xdr:cNvPr id="150" name="Графический объект 22" descr="Дополнительные сведения в Интернете">
            <a:hlinkClick xmlns:r="http://schemas.openxmlformats.org/officeDocument/2006/relationships" r:id="rId6" tooltip="Дополнительные сведения в Интернете"/>
            <a:extLst>
              <a:ext uri="{FF2B5EF4-FFF2-40B4-BE49-F238E27FC236}">
                <a16:creationId xmlns:a16="http://schemas.microsoft.com/office/drawing/2014/main" id="{EBAE2967-711A-4896-A8B7-B7FA652650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52970" y="11990570"/>
            <a:ext cx="475661" cy="377773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555326</xdr:colOff>
      <xdr:row>68</xdr:row>
      <xdr:rowOff>117925</xdr:rowOff>
    </xdr:from>
    <xdr:to>
      <xdr:col>1</xdr:col>
      <xdr:colOff>2867025</xdr:colOff>
      <xdr:row>70</xdr:row>
      <xdr:rowOff>120285</xdr:rowOff>
    </xdr:to>
    <xdr:grpSp>
      <xdr:nvGrpSpPr>
        <xdr:cNvPr id="151" name="Группа 150" descr="Полные сведения о формулах в Excel">
          <a:extLst>
            <a:ext uri="{FF2B5EF4-FFF2-40B4-BE49-F238E27FC236}">
              <a16:creationId xmlns:a16="http://schemas.microsoft.com/office/drawing/2014/main" id="{DBBBF993-8DF8-4B72-8129-E3AA07A81756}"/>
            </a:ext>
          </a:extLst>
        </xdr:cNvPr>
        <xdr:cNvGrpSpPr/>
      </xdr:nvGrpSpPr>
      <xdr:grpSpPr>
        <a:xfrm>
          <a:off x="555326" y="14091100"/>
          <a:ext cx="3159424" cy="383360"/>
          <a:chOff x="552970" y="12376600"/>
          <a:chExt cx="3159424" cy="383360"/>
        </a:xfrm>
      </xdr:grpSpPr>
      <xdr:sp macro="" textlink="">
        <xdr:nvSpPr>
          <xdr:cNvPr id="152" name="Шаг" descr="Гиперссылка на веб-страницу о функции СЧЁТ&#10;">
            <a:hlinkClick xmlns:r="http://schemas.openxmlformats.org/officeDocument/2006/relationships" r:id="rId9" tooltip="Подробные сведения о формулах Excel в Интернете"/>
            <a:extLst>
              <a:ext uri="{FF2B5EF4-FFF2-40B4-BE49-F238E27FC236}">
                <a16:creationId xmlns:a16="http://schemas.microsoft.com/office/drawing/2014/main" id="{68253150-FDCC-4078-B423-C873DCBF4AD9}"/>
              </a:ext>
            </a:extLst>
          </xdr:cNvPr>
          <xdr:cNvSpPr txBox="1"/>
        </xdr:nvSpPr>
        <xdr:spPr>
          <a:xfrm>
            <a:off x="1002467" y="12466356"/>
            <a:ext cx="2709927" cy="2443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Полные сведения о формулах в Excel</a:t>
            </a:r>
          </a:p>
        </xdr:txBody>
      </xdr:sp>
      <xdr:pic>
        <xdr:nvPicPr>
          <xdr:cNvPr id="153" name="Графический объект 22" descr="Дополнительные сведения в Интернете">
            <a:hlinkClick xmlns:r="http://schemas.openxmlformats.org/officeDocument/2006/relationships" r:id="rId9" tooltip="Дополнительные сведения в Интернете"/>
            <a:extLst>
              <a:ext uri="{FF2B5EF4-FFF2-40B4-BE49-F238E27FC236}">
                <a16:creationId xmlns:a16="http://schemas.microsoft.com/office/drawing/2014/main" id="{8A744DEE-DB39-49DC-9ECF-DB49429F7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52970" y="12376600"/>
            <a:ext cx="475661" cy="38336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555326</xdr:colOff>
      <xdr:row>70</xdr:row>
      <xdr:rowOff>136723</xdr:rowOff>
    </xdr:from>
    <xdr:to>
      <xdr:col>1</xdr:col>
      <xdr:colOff>2412180</xdr:colOff>
      <xdr:row>72</xdr:row>
      <xdr:rowOff>133496</xdr:rowOff>
    </xdr:to>
    <xdr:grpSp>
      <xdr:nvGrpSpPr>
        <xdr:cNvPr id="154" name="Группа 153">
          <a:extLst>
            <a:ext uri="{FF2B5EF4-FFF2-40B4-BE49-F238E27FC236}">
              <a16:creationId xmlns:a16="http://schemas.microsoft.com/office/drawing/2014/main" id="{97003A87-44BF-4E57-A760-19DF355C2169}"/>
            </a:ext>
          </a:extLst>
        </xdr:cNvPr>
        <xdr:cNvGrpSpPr/>
      </xdr:nvGrpSpPr>
      <xdr:grpSpPr>
        <a:xfrm>
          <a:off x="555326" y="14490898"/>
          <a:ext cx="2704579" cy="377773"/>
          <a:chOff x="552970" y="12776398"/>
          <a:chExt cx="2704579" cy="377773"/>
        </a:xfrm>
      </xdr:grpSpPr>
      <xdr:sp macro="" textlink="">
        <xdr:nvSpPr>
          <xdr:cNvPr id="155" name="Шаг" descr="Гиперссылка на веб-страницу об использовании Excel в качестве калькулятора&#10;">
            <a:hlinkClick xmlns:r="http://schemas.openxmlformats.org/officeDocument/2006/relationships" r:id="rId10" tooltip="Функции Excel по категориям"/>
            <a:extLst>
              <a:ext uri="{FF2B5EF4-FFF2-40B4-BE49-F238E27FC236}">
                <a16:creationId xmlns:a16="http://schemas.microsoft.com/office/drawing/2014/main" id="{1B8A91B8-3AD1-4CBF-A83F-989016E1EFCA}"/>
              </a:ext>
            </a:extLst>
          </xdr:cNvPr>
          <xdr:cNvSpPr txBox="1"/>
        </xdr:nvSpPr>
        <xdr:spPr>
          <a:xfrm>
            <a:off x="1002466" y="12860578"/>
            <a:ext cx="2255083" cy="2499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Функции Excel (по категориям) </a:t>
            </a:r>
          </a:p>
        </xdr:txBody>
      </xdr:sp>
      <xdr:pic>
        <xdr:nvPicPr>
          <xdr:cNvPr id="156" name="Графический объект 155" descr="Дополнительные сведения в Интернете">
            <a:hlinkClick xmlns:r="http://schemas.openxmlformats.org/officeDocument/2006/relationships" r:id="rId10" tooltip="Дополнительные сведения в Интернете"/>
            <a:extLst>
              <a:ext uri="{FF2B5EF4-FFF2-40B4-BE49-F238E27FC236}">
                <a16:creationId xmlns:a16="http://schemas.microsoft.com/office/drawing/2014/main" id="{6A002DE9-B460-4DEF-89B0-9CE1D5FEA4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52970" y="12776398"/>
            <a:ext cx="475661" cy="377773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567509</xdr:colOff>
      <xdr:row>72</xdr:row>
      <xdr:rowOff>148582</xdr:rowOff>
    </xdr:from>
    <xdr:to>
      <xdr:col>1</xdr:col>
      <xdr:colOff>2669355</xdr:colOff>
      <xdr:row>74</xdr:row>
      <xdr:rowOff>150942</xdr:rowOff>
    </xdr:to>
    <xdr:grpSp>
      <xdr:nvGrpSpPr>
        <xdr:cNvPr id="157" name="Группа 156">
          <a:extLst>
            <a:ext uri="{FF2B5EF4-FFF2-40B4-BE49-F238E27FC236}">
              <a16:creationId xmlns:a16="http://schemas.microsoft.com/office/drawing/2014/main" id="{71257630-43F1-4787-B9D3-FAD6BF048228}"/>
            </a:ext>
          </a:extLst>
        </xdr:cNvPr>
        <xdr:cNvGrpSpPr/>
      </xdr:nvGrpSpPr>
      <xdr:grpSpPr>
        <a:xfrm>
          <a:off x="567509" y="14883757"/>
          <a:ext cx="2949571" cy="383360"/>
          <a:chOff x="565153" y="13169257"/>
          <a:chExt cx="2949571" cy="383360"/>
        </a:xfrm>
      </xdr:grpSpPr>
      <xdr:sp macro="" textlink="">
        <xdr:nvSpPr>
          <xdr:cNvPr id="158" name="Шаг" descr="Гиперссылка на бесплатные учебные веб-курсы по Excel&#10;">
            <a:hlinkClick xmlns:r="http://schemas.openxmlformats.org/officeDocument/2006/relationships" r:id="rId11" tooltip="Функции Excel по алфавиту"/>
            <a:extLst>
              <a:ext uri="{FF2B5EF4-FFF2-40B4-BE49-F238E27FC236}">
                <a16:creationId xmlns:a16="http://schemas.microsoft.com/office/drawing/2014/main" id="{A1D2C3A9-E7A3-44B5-93E4-99B051F60D72}"/>
              </a:ext>
            </a:extLst>
          </xdr:cNvPr>
          <xdr:cNvSpPr txBox="1"/>
        </xdr:nvSpPr>
        <xdr:spPr>
          <a:xfrm>
            <a:off x="1014649" y="13253084"/>
            <a:ext cx="2500075" cy="2615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Функции Excel (по алфавиту)</a:t>
            </a:r>
            <a:r>
              <a:rPr lang="ru" sz="1100" u="none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 </a:t>
            </a:r>
          </a:p>
        </xdr:txBody>
      </xdr:sp>
      <xdr:pic>
        <xdr:nvPicPr>
          <xdr:cNvPr id="159" name="Графический объект 22" descr="Дополнительные сведения в Интернете">
            <a:hlinkClick xmlns:r="http://schemas.openxmlformats.org/officeDocument/2006/relationships" r:id="rId11" tooltip="Дополнительные сведения в Интернете"/>
            <a:extLst>
              <a:ext uri="{FF2B5EF4-FFF2-40B4-BE49-F238E27FC236}">
                <a16:creationId xmlns:a16="http://schemas.microsoft.com/office/drawing/2014/main" id="{39497227-C71D-4FA2-9B71-A022FF7F1C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65153" y="13169257"/>
            <a:ext cx="475661" cy="38336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577034</xdr:colOff>
      <xdr:row>74</xdr:row>
      <xdr:rowOff>148582</xdr:rowOff>
    </xdr:from>
    <xdr:to>
      <xdr:col>1</xdr:col>
      <xdr:colOff>3105150</xdr:colOff>
      <xdr:row>76</xdr:row>
      <xdr:rowOff>150942</xdr:rowOff>
    </xdr:to>
    <xdr:grpSp>
      <xdr:nvGrpSpPr>
        <xdr:cNvPr id="160" name="Группа 159">
          <a:extLst>
            <a:ext uri="{FF2B5EF4-FFF2-40B4-BE49-F238E27FC236}">
              <a16:creationId xmlns:a16="http://schemas.microsoft.com/office/drawing/2014/main" id="{32835AA2-E6D6-41DC-B4E4-AF07FAC19150}"/>
            </a:ext>
          </a:extLst>
        </xdr:cNvPr>
        <xdr:cNvGrpSpPr/>
      </xdr:nvGrpSpPr>
      <xdr:grpSpPr>
        <a:xfrm>
          <a:off x="577034" y="15264757"/>
          <a:ext cx="3375841" cy="383360"/>
          <a:chOff x="574678" y="13550257"/>
          <a:chExt cx="3375841" cy="383360"/>
        </a:xfrm>
      </xdr:grpSpPr>
      <xdr:sp macro="" textlink="">
        <xdr:nvSpPr>
          <xdr:cNvPr id="161" name="Шаг" descr="Гиперссылка на веб-страницу «Бесплатные учебные веб-курсы по Excel»&#10;">
            <a:hlinkClick xmlns:r="http://schemas.openxmlformats.org/officeDocument/2006/relationships" r:id="rId12" tooltip="Сведения в Интернете о бесплатных учебных веб-курсах по Excel"/>
            <a:extLst>
              <a:ext uri="{FF2B5EF4-FFF2-40B4-BE49-F238E27FC236}">
                <a16:creationId xmlns:a16="http://schemas.microsoft.com/office/drawing/2014/main" id="{BBD9D617-8BE8-4A77-A4A7-46711DF153C7}"/>
              </a:ext>
            </a:extLst>
          </xdr:cNvPr>
          <xdr:cNvSpPr txBox="1"/>
        </xdr:nvSpPr>
        <xdr:spPr>
          <a:xfrm>
            <a:off x="1024175" y="13634084"/>
            <a:ext cx="2926344" cy="2615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Бесплатные учебные веб-курсы по Excel</a:t>
            </a:r>
          </a:p>
        </xdr:txBody>
      </xdr:sp>
      <xdr:pic>
        <xdr:nvPicPr>
          <xdr:cNvPr id="162" name="Графический объект 22" descr="Дополнительные сведения в Интернете">
            <a:hlinkClick xmlns:r="http://schemas.openxmlformats.org/officeDocument/2006/relationships" r:id="rId12" tooltip="Дополнительные сведения в Интернете"/>
            <a:extLst>
              <a:ext uri="{FF2B5EF4-FFF2-40B4-BE49-F238E27FC236}">
                <a16:creationId xmlns:a16="http://schemas.microsoft.com/office/drawing/2014/main" id="{3D7A9E61-8947-4BBC-839B-5B5A5DD9C3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74678" y="13550257"/>
            <a:ext cx="475661" cy="38336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5412555</xdr:colOff>
      <xdr:row>4</xdr:row>
      <xdr:rowOff>114300</xdr:rowOff>
    </xdr:from>
    <xdr:to>
      <xdr:col>4</xdr:col>
      <xdr:colOff>958887</xdr:colOff>
      <xdr:row>15</xdr:row>
      <xdr:rowOff>25817</xdr:rowOff>
    </xdr:to>
    <xdr:grpSp>
      <xdr:nvGrpSpPr>
        <xdr:cNvPr id="163" name="Группа 162">
          <a:extLst>
            <a:ext uri="{FF2B5EF4-FFF2-40B4-BE49-F238E27FC236}">
              <a16:creationId xmlns:a16="http://schemas.microsoft.com/office/drawing/2014/main" id="{C2C01485-52DA-46D7-91BA-2CB22C9C592D}"/>
            </a:ext>
          </a:extLst>
        </xdr:cNvPr>
        <xdr:cNvGrpSpPr/>
      </xdr:nvGrpSpPr>
      <xdr:grpSpPr>
        <a:xfrm>
          <a:off x="6260280" y="1495425"/>
          <a:ext cx="2270982" cy="2035592"/>
          <a:chOff x="6219825" y="1332153"/>
          <a:chExt cx="2270982" cy="2026067"/>
        </a:xfrm>
      </xdr:grpSpPr>
      <xdr:grpSp>
        <xdr:nvGrpSpPr>
          <xdr:cNvPr id="164" name="Строки с квадратной скобкой">
            <a:extLst>
              <a:ext uri="{FF2B5EF4-FFF2-40B4-BE49-F238E27FC236}">
                <a16:creationId xmlns:a16="http://schemas.microsoft.com/office/drawing/2014/main" id="{C6C732D8-8C93-4CFB-BAD8-7EB1D0E191AF}"/>
              </a:ext>
            </a:extLst>
          </xdr:cNvPr>
          <xdr:cNvGrpSpPr/>
        </xdr:nvGrpSpPr>
        <xdr:grpSpPr>
          <a:xfrm rot="5886532">
            <a:off x="6566246" y="1149853"/>
            <a:ext cx="563095" cy="927696"/>
            <a:chOff x="9871108" y="1184220"/>
            <a:chExt cx="273326" cy="789155"/>
          </a:xfrm>
        </xdr:grpSpPr>
        <xdr:sp macro="" textlink="">
          <xdr:nvSpPr>
            <xdr:cNvPr id="167" name="Другая строка с квадратной скобкой" descr="Строка с квадратной скобкой">
              <a:extLst>
                <a:ext uri="{FF2B5EF4-FFF2-40B4-BE49-F238E27FC236}">
                  <a16:creationId xmlns:a16="http://schemas.microsoft.com/office/drawing/2014/main" id="{CE60D9BE-1267-484B-8547-1136C10EC14C}"/>
                </a:ext>
              </a:extLst>
            </xdr:cNvPr>
            <xdr:cNvSpPr/>
          </xdr:nvSpPr>
          <xdr:spPr>
            <a:xfrm>
              <a:off x="9871108" y="1184220"/>
              <a:ext cx="273326" cy="262769"/>
            </a:xfrm>
            <a:custGeom>
              <a:avLst/>
              <a:gdLst>
                <a:gd name="connsiteX0" fmla="*/ 0 w 273326"/>
                <a:gd name="connsiteY0" fmla="*/ 193 h 217696"/>
                <a:gd name="connsiteX1" fmla="*/ 157369 w 273326"/>
                <a:gd name="connsiteY1" fmla="*/ 33323 h 217696"/>
                <a:gd name="connsiteX2" fmla="*/ 165652 w 273326"/>
                <a:gd name="connsiteY2" fmla="*/ 207258 h 217696"/>
                <a:gd name="connsiteX3" fmla="*/ 273326 w 273326"/>
                <a:gd name="connsiteY3" fmla="*/ 198976 h 217696"/>
                <a:gd name="connsiteX4" fmla="*/ 273326 w 273326"/>
                <a:gd name="connsiteY4" fmla="*/ 198976 h 2176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73326" h="217696">
                  <a:moveTo>
                    <a:pt x="0" y="193"/>
                  </a:moveTo>
                  <a:cubicBezTo>
                    <a:pt x="64880" y="-498"/>
                    <a:pt x="129760" y="-1188"/>
                    <a:pt x="157369" y="33323"/>
                  </a:cubicBezTo>
                  <a:cubicBezTo>
                    <a:pt x="184978" y="67834"/>
                    <a:pt x="146326" y="179649"/>
                    <a:pt x="165652" y="207258"/>
                  </a:cubicBezTo>
                  <a:cubicBezTo>
                    <a:pt x="184978" y="234867"/>
                    <a:pt x="273326" y="198976"/>
                    <a:pt x="273326" y="198976"/>
                  </a:cubicBezTo>
                  <a:lnTo>
                    <a:pt x="273326" y="198976"/>
                  </a:ln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68" name="Строка с квадратной скобкой" descr="Строка с квадратной скобкой&#10;">
              <a:extLst>
                <a:ext uri="{FF2B5EF4-FFF2-40B4-BE49-F238E27FC236}">
                  <a16:creationId xmlns:a16="http://schemas.microsoft.com/office/drawing/2014/main" id="{5B02AF09-F448-47F0-A846-E12FFA754450}"/>
                </a:ext>
              </a:extLst>
            </xdr:cNvPr>
            <xdr:cNvSpPr/>
          </xdr:nvSpPr>
          <xdr:spPr>
            <a:xfrm>
              <a:off x="9983011" y="1430777"/>
              <a:ext cx="160895" cy="542598"/>
            </a:xfrm>
            <a:custGeom>
              <a:avLst/>
              <a:gdLst>
                <a:gd name="connsiteX0" fmla="*/ 0 w 231913"/>
                <a:gd name="connsiteY0" fmla="*/ 579782 h 579782"/>
                <a:gd name="connsiteX1" fmla="*/ 173935 w 231913"/>
                <a:gd name="connsiteY1" fmla="*/ 496956 h 579782"/>
                <a:gd name="connsiteX2" fmla="*/ 107674 w 231913"/>
                <a:gd name="connsiteY2" fmla="*/ 265043 h 579782"/>
                <a:gd name="connsiteX3" fmla="*/ 115956 w 231913"/>
                <a:gd name="connsiteY3" fmla="*/ 57978 h 579782"/>
                <a:gd name="connsiteX4" fmla="*/ 231913 w 231913"/>
                <a:gd name="connsiteY4" fmla="*/ 0 h 57978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31913" h="579782">
                  <a:moveTo>
                    <a:pt x="0" y="579782"/>
                  </a:moveTo>
                  <a:cubicBezTo>
                    <a:pt x="77994" y="564597"/>
                    <a:pt x="155989" y="549413"/>
                    <a:pt x="173935" y="496956"/>
                  </a:cubicBezTo>
                  <a:cubicBezTo>
                    <a:pt x="191881" y="444499"/>
                    <a:pt x="117337" y="338206"/>
                    <a:pt x="107674" y="265043"/>
                  </a:cubicBezTo>
                  <a:cubicBezTo>
                    <a:pt x="98011" y="191880"/>
                    <a:pt x="95250" y="102152"/>
                    <a:pt x="115956" y="57978"/>
                  </a:cubicBezTo>
                  <a:cubicBezTo>
                    <a:pt x="136663" y="13804"/>
                    <a:pt x="184288" y="6902"/>
                    <a:pt x="231913" y="0"/>
                  </a:cubicBez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pic>
        <xdr:nvPicPr>
          <xdr:cNvPr id="165" name="Звезды" descr="Звезды">
            <a:extLst>
              <a:ext uri="{FF2B5EF4-FFF2-40B4-BE49-F238E27FC236}">
                <a16:creationId xmlns:a16="http://schemas.microsoft.com/office/drawing/2014/main" id="{7A19B73F-71AE-41DE-BB2D-C688A71259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6219825" y="1993317"/>
            <a:ext cx="388117" cy="337815"/>
          </a:xfrm>
          <a:prstGeom prst="rect">
            <a:avLst/>
          </a:prstGeom>
        </xdr:spPr>
      </xdr:pic>
      <xdr:sp macro="" textlink="">
        <xdr:nvSpPr>
          <xdr:cNvPr id="166" name="Инструкции" descr="ПОПРОБУЙТЕ САМИ!&#10;Введите здесь другие числа и посмотрите, как автоматически изменятся результаты формулы.&#10;">
            <a:extLst>
              <a:ext uri="{FF2B5EF4-FFF2-40B4-BE49-F238E27FC236}">
                <a16:creationId xmlns:a16="http://schemas.microsoft.com/office/drawing/2014/main" id="{50555AA4-008E-4DD4-89F8-AF46A3D1D5A7}"/>
              </a:ext>
            </a:extLst>
          </xdr:cNvPr>
          <xdr:cNvSpPr txBox="1"/>
        </xdr:nvSpPr>
        <xdr:spPr>
          <a:xfrm>
            <a:off x="6521695" y="1948519"/>
            <a:ext cx="1969112" cy="14097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ПОПРОБУЙТЕ САМИ!</a:t>
            </a:r>
          </a:p>
          <a:p>
            <a:pPr rtl="0"/>
            <a:r>
              <a:rPr lang="ru" sz="1200" kern="12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Введите здесь другие</a:t>
            </a:r>
            <a:r>
              <a:rPr lang="ru" sz="120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числа и посмотрите, как автоматически изменятся результаты формулы.</a:t>
            </a:r>
            <a:endParaRPr lang="en-US" sz="900">
              <a:effectLst/>
            </a:endParaRPr>
          </a:p>
        </xdr:txBody>
      </xdr:sp>
    </xdr:grpSp>
    <xdr:clientData/>
  </xdr:twoCellAnchor>
  <xdr:twoCellAnchor editAs="absolute">
    <xdr:from>
      <xdr:col>1</xdr:col>
      <xdr:colOff>5323810</xdr:colOff>
      <xdr:row>25</xdr:row>
      <xdr:rowOff>129769</xdr:rowOff>
    </xdr:from>
    <xdr:to>
      <xdr:col>12</xdr:col>
      <xdr:colOff>361948</xdr:colOff>
      <xdr:row>56</xdr:row>
      <xdr:rowOff>57150</xdr:rowOff>
    </xdr:to>
    <xdr:grpSp>
      <xdr:nvGrpSpPr>
        <xdr:cNvPr id="169" name="Группа 168">
          <a:extLst>
            <a:ext uri="{FF2B5EF4-FFF2-40B4-BE49-F238E27FC236}">
              <a16:creationId xmlns:a16="http://schemas.microsoft.com/office/drawing/2014/main" id="{50CFB57E-402D-428F-8A7B-D2B6BD7D7634}"/>
            </a:ext>
          </a:extLst>
        </xdr:cNvPr>
        <xdr:cNvGrpSpPr/>
      </xdr:nvGrpSpPr>
      <xdr:grpSpPr>
        <a:xfrm>
          <a:off x="6171535" y="5768569"/>
          <a:ext cx="8516013" cy="5975756"/>
          <a:chOff x="8257510" y="6178144"/>
          <a:chExt cx="8516013" cy="5975756"/>
        </a:xfrm>
      </xdr:grpSpPr>
      <xdr:grpSp>
        <xdr:nvGrpSpPr>
          <xdr:cNvPr id="170" name="ПОЛЕЗНЫЕ СВЕДЕНИЯ" descr="ПОЛЕЗНЫЕ СВЕДЕНИЯ&#10;&#10;">
            <a:extLst>
              <a:ext uri="{FF2B5EF4-FFF2-40B4-BE49-F238E27FC236}">
                <a16:creationId xmlns:a16="http://schemas.microsoft.com/office/drawing/2014/main" id="{C43C872B-4996-44B6-9821-46907E2D5805}"/>
              </a:ext>
            </a:extLst>
          </xdr:cNvPr>
          <xdr:cNvGrpSpPr/>
        </xdr:nvGrpSpPr>
        <xdr:grpSpPr>
          <a:xfrm>
            <a:off x="12486605" y="6178144"/>
            <a:ext cx="4286918" cy="2499133"/>
            <a:chOff x="7053810" y="15226304"/>
            <a:chExt cx="4417110" cy="2155007"/>
          </a:xfrm>
        </xdr:grpSpPr>
        <xdr:sp macro="" textlink="">
          <xdr:nvSpPr>
            <xdr:cNvPr id="212" name="Шаг" descr="ПОЛЕЗНЫЕ СВЕДЕНИЯ&#10;Константы — это значения, которые вводятся в ячейки и формулы. Хотя формула =10+20 может давать тот же результат, что и =A1+B1, использовать константы не рекомендуется. Это объясняется следующим: чтобы увидеть значение константы, нужно выделить ячейку и найти его в ней. Из-за этого константы сложно изменять. Гораздо удобнее ввести значения в отдельные ячейки, где их можно легко изменять, и добавить ссылки на них в формулу.&#10;&#10;Например, выделите желтую ячейку с числом 12 ниже. Вы увидите, что в ней используется функция СУММ, которая ссылается на диапазон ячеек. В формуле нет самих чисел 4 и 8. &#10;">
              <a:extLst>
                <a:ext uri="{FF2B5EF4-FFF2-40B4-BE49-F238E27FC236}">
                  <a16:creationId xmlns:a16="http://schemas.microsoft.com/office/drawing/2014/main" id="{D04FEABC-54EC-41D4-8544-354A180A4128}"/>
                </a:ext>
              </a:extLst>
            </xdr:cNvPr>
            <xdr:cNvSpPr txBox="1"/>
          </xdr:nvSpPr>
          <xdr:spPr>
            <a:xfrm>
              <a:off x="7377112" y="15262901"/>
              <a:ext cx="4093808" cy="21184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rtl="0">
                <a:defRPr/>
              </a:pPr>
              <a:r>
                <a:rPr lang="ru" sz="1200" b="1" kern="0">
                  <a:solidFill>
                    <a:srgbClr val="ED7D31">
                      <a:lumMod val="60000"/>
                      <a:lumOff val="40000"/>
                    </a:srgbClr>
                  </a:solidFill>
                  <a:latin typeface="+mj-lt"/>
                  <a:ea typeface="Segoe UI" pitchFamily="34" charset="0"/>
                  <a:cs typeface="Segoe UI Light" panose="020B0502040204020203" pitchFamily="34" charset="0"/>
                </a:rPr>
                <a:t>ПОЛЕЗНЫЕ СВЕДЕНИЯ</a:t>
              </a:r>
              <a:endParaRPr lang="en-US" sz="1200" b="1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endParaRPr>
            </a:p>
            <a:p>
              <a:pPr rtl="0" eaLnBrk="1" fontAlgn="auto" latinLnBrk="0" hangingPunct="1"/>
              <a:r>
                <a:rPr lang="ru" sz="1100" b="0" i="0" kern="12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Константы — это значения, которые вводятся в ячейки и формулы. Хотя формула =10+20 может давать тот же результат, что и =A1+B1, использовать константы не рекомендуется. Это объясняется следующим: чтобы увидеть значение константы, нужно выделить ячейку и найти его в ней. Из-за этого константы сложно изменять. Гораздо удобнее ввести значения в отдельные ячейки, где их можно легко изменять, и добавить ссылки на них в формулу.</a:t>
              </a:r>
            </a:p>
            <a:p>
              <a:pPr rtl="0" eaLnBrk="1" fontAlgn="auto" latinLnBrk="0" hangingPunct="1"/>
              <a:endParaRPr lang="en-US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rtl="0" eaLnBrk="1" fontAlgn="auto" latinLnBrk="0" hangingPunct="1"/>
              <a:r>
                <a:rPr lang="ru" sz="1100" b="0" i="0" kern="12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Например, выделите желтую ячейку с числом </a:t>
              </a:r>
              <a:r>
                <a:rPr lang="ru" sz="1100" b="1" i="0" kern="12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12</a:t>
              </a:r>
              <a:r>
                <a:rPr lang="ru" sz="1100" b="0" i="0" kern="12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ниже. Вы увидите, что в ней используется функция </a:t>
              </a:r>
              <a:r>
                <a:rPr lang="ru" sz="1100" b="1" i="0" kern="12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СУММ</a:t>
              </a:r>
              <a:r>
                <a:rPr lang="ru" sz="1100" b="0" i="0" kern="12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которая ссылается на диапазон ячеек. В формуле нет самих чисел 4 и 8. </a:t>
              </a:r>
            </a:p>
          </xdr:txBody>
        </xdr:sp>
        <xdr:pic>
          <xdr:nvPicPr>
            <xdr:cNvPr id="213" name="Графический объект 147" descr="Очки">
              <a:extLst>
                <a:ext uri="{FF2B5EF4-FFF2-40B4-BE49-F238E27FC236}">
                  <a16:creationId xmlns:a16="http://schemas.microsoft.com/office/drawing/2014/main" id="{720D4EE0-7550-4DC7-A79F-7DA9F6C0DF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7053810" y="15226304"/>
              <a:ext cx="323347" cy="349115"/>
            </a:xfrm>
            <a:prstGeom prst="rect">
              <a:avLst/>
            </a:prstGeom>
          </xdr:spPr>
        </xdr:pic>
      </xdr:grpSp>
      <xdr:grpSp>
        <xdr:nvGrpSpPr>
          <xdr:cNvPr id="171" name="Группа 170">
            <a:extLst>
              <a:ext uri="{FF2B5EF4-FFF2-40B4-BE49-F238E27FC236}">
                <a16:creationId xmlns:a16="http://schemas.microsoft.com/office/drawing/2014/main" id="{7440BE31-1C3C-4F77-9B4A-DA987875D6C4}"/>
              </a:ext>
            </a:extLst>
          </xdr:cNvPr>
          <xdr:cNvGrpSpPr/>
        </xdr:nvGrpSpPr>
        <xdr:grpSpPr>
          <a:xfrm>
            <a:off x="8319789" y="6402998"/>
            <a:ext cx="4083384" cy="1294710"/>
            <a:chOff x="8319789" y="6402998"/>
            <a:chExt cx="4083384" cy="1294710"/>
          </a:xfrm>
        </xdr:grpSpPr>
        <xdr:sp macro="" textlink="">
          <xdr:nvSpPr>
            <xdr:cNvPr id="198" name="текст_Формула" descr="=A1+B1 &#10;">
              <a:extLst>
                <a:ext uri="{FF2B5EF4-FFF2-40B4-BE49-F238E27FC236}">
                  <a16:creationId xmlns:a16="http://schemas.microsoft.com/office/drawing/2014/main" id="{09925615-92E5-4FED-ABD0-95B91AFE7A89}"/>
                </a:ext>
              </a:extLst>
            </xdr:cNvPr>
            <xdr:cNvSpPr txBox="1"/>
          </xdr:nvSpPr>
          <xdr:spPr>
            <a:xfrm>
              <a:off x="8319789" y="6663836"/>
              <a:ext cx="2025984" cy="5029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tIns="0" rIns="0" bIns="0" rtlCol="0" anchor="t"/>
            <a:lstStyle/>
            <a:p>
              <a:pPr marL="0" marR="0" rtl="0">
                <a:spcBef>
                  <a:spcPts val="0"/>
                </a:spcBef>
                <a:spcAft>
                  <a:spcPts val="0"/>
                </a:spcAft>
              </a:pPr>
              <a:r>
                <a:rPr lang="ru" sz="3600">
                  <a:solidFill>
                    <a:srgbClr val="000000"/>
                  </a:solidFill>
                  <a:effectLst/>
                  <a:latin typeface="Courier New" panose="02070309020205020404" pitchFamily="49" charset="0"/>
                  <a:ea typeface="Times New Roman" panose="02020603050405020304" pitchFamily="18" charset="0"/>
                </a:rPr>
                <a:t>=A1+B1 </a:t>
              </a:r>
              <a:endParaRPr lang="en-US" sz="360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  <xdr:sp macro="" textlink="">
          <xdr:nvSpPr>
            <xdr:cNvPr id="199" name="ФормулаВерхняяСкобка">
              <a:extLst>
                <a:ext uri="{FF2B5EF4-FFF2-40B4-BE49-F238E27FC236}">
                  <a16:creationId xmlns:a16="http://schemas.microsoft.com/office/drawing/2014/main" id="{06B625F0-B6FF-4FB6-82EE-37D7B29DEADC}"/>
                </a:ext>
              </a:extLst>
            </xdr:cNvPr>
            <xdr:cNvSpPr/>
          </xdr:nvSpPr>
          <xdr:spPr>
            <a:xfrm rot="5400000">
              <a:off x="9207945" y="6645021"/>
              <a:ext cx="121918" cy="196189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200" name="текст_ФормулаВерхняяВыноска" descr="Оператор&#10;">
              <a:extLst>
                <a:ext uri="{FF2B5EF4-FFF2-40B4-BE49-F238E27FC236}">
                  <a16:creationId xmlns:a16="http://schemas.microsoft.com/office/drawing/2014/main" id="{FEB264EE-E7A0-4BFB-BBE2-0F36D6F84A74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921188" y="6402998"/>
              <a:ext cx="828000" cy="257175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Оператор</a:t>
              </a:r>
            </a:p>
          </xdr:txBody>
        </xdr:sp>
        <xdr:sp macro="" textlink="">
          <xdr:nvSpPr>
            <xdr:cNvPr id="201" name="ФормулаВерхняяСкобка">
              <a:extLst>
                <a:ext uri="{FF2B5EF4-FFF2-40B4-BE49-F238E27FC236}">
                  <a16:creationId xmlns:a16="http://schemas.microsoft.com/office/drawing/2014/main" id="{3CB31A99-96D7-4A5F-A2D8-6091936DBB59}"/>
                </a:ext>
              </a:extLst>
            </xdr:cNvPr>
            <xdr:cNvSpPr/>
          </xdr:nvSpPr>
          <xdr:spPr>
            <a:xfrm rot="16200000">
              <a:off x="8791631" y="6974379"/>
              <a:ext cx="121918" cy="482647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202" name="текст_ФормулаВерхняяВыноска" descr="Ссылка на ячейку&#10;&#10;">
              <a:extLst>
                <a:ext uri="{FF2B5EF4-FFF2-40B4-BE49-F238E27FC236}">
                  <a16:creationId xmlns:a16="http://schemas.microsoft.com/office/drawing/2014/main" id="{E6F187D6-FF2E-4EFC-AFAA-20952A07D39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476827" y="7293605"/>
              <a:ext cx="792000" cy="404103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Ссылка на ячейку</a:t>
              </a:r>
            </a:p>
          </xdr:txBody>
        </xdr:sp>
        <xdr:sp macro="" textlink="">
          <xdr:nvSpPr>
            <xdr:cNvPr id="203" name="ФормулаВерхняяСкобка">
              <a:extLst>
                <a:ext uri="{FF2B5EF4-FFF2-40B4-BE49-F238E27FC236}">
                  <a16:creationId xmlns:a16="http://schemas.microsoft.com/office/drawing/2014/main" id="{872F7C58-72FF-46FC-8EC4-AEF5C7512D62}"/>
                </a:ext>
              </a:extLst>
            </xdr:cNvPr>
            <xdr:cNvSpPr/>
          </xdr:nvSpPr>
          <xdr:spPr>
            <a:xfrm rot="16200000">
              <a:off x="9638165" y="6973189"/>
              <a:ext cx="121918" cy="485028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204" name="текст_ФормулаВерхняяВыноска" descr="Ссылка на ячейку&#10;&#10;">
              <a:extLst>
                <a:ext uri="{FF2B5EF4-FFF2-40B4-BE49-F238E27FC236}">
                  <a16:creationId xmlns:a16="http://schemas.microsoft.com/office/drawing/2014/main" id="{C8D9CEE7-9568-485B-8FE0-FB660EF1AC52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322170" y="7293605"/>
              <a:ext cx="792000" cy="404103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Ссылка на ячейку</a:t>
              </a:r>
            </a:p>
          </xdr:txBody>
        </xdr:sp>
        <xdr:sp macro="" textlink="">
          <xdr:nvSpPr>
            <xdr:cNvPr id="205" name="текст_Формула" descr="=10*20 &#10;">
              <a:extLst>
                <a:ext uri="{FF2B5EF4-FFF2-40B4-BE49-F238E27FC236}">
                  <a16:creationId xmlns:a16="http://schemas.microsoft.com/office/drawing/2014/main" id="{B5C03097-B1E4-4C44-A3A7-E2260FC430EB}"/>
                </a:ext>
              </a:extLst>
            </xdr:cNvPr>
            <xdr:cNvSpPr txBox="1"/>
          </xdr:nvSpPr>
          <xdr:spPr>
            <a:xfrm>
              <a:off x="10369130" y="6663836"/>
              <a:ext cx="2034043" cy="5029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tIns="0" rIns="0" bIns="0" rtlCol="0" anchor="t"/>
            <a:lstStyle/>
            <a:p>
              <a:pPr marL="0" marR="0" rtl="0">
                <a:spcBef>
                  <a:spcPts val="0"/>
                </a:spcBef>
                <a:spcAft>
                  <a:spcPts val="0"/>
                </a:spcAft>
              </a:pPr>
              <a:r>
                <a:rPr lang="ru" sz="3600">
                  <a:solidFill>
                    <a:srgbClr val="000000"/>
                  </a:solidFill>
                  <a:effectLst/>
                  <a:latin typeface="Courier New" panose="02070309020205020404" pitchFamily="49" charset="0"/>
                  <a:ea typeface="Times New Roman" panose="02020603050405020304" pitchFamily="18" charset="0"/>
                </a:rPr>
                <a:t>=10+20 </a:t>
              </a:r>
              <a:endParaRPr lang="en-US" sz="360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  <xdr:sp macro="" textlink="">
          <xdr:nvSpPr>
            <xdr:cNvPr id="206" name="ФормулаВерхняяСкобка">
              <a:extLst>
                <a:ext uri="{FF2B5EF4-FFF2-40B4-BE49-F238E27FC236}">
                  <a16:creationId xmlns:a16="http://schemas.microsoft.com/office/drawing/2014/main" id="{81CD8C84-59B0-42BA-84FD-161333AB7096}"/>
                </a:ext>
              </a:extLst>
            </xdr:cNvPr>
            <xdr:cNvSpPr/>
          </xdr:nvSpPr>
          <xdr:spPr>
            <a:xfrm rot="5400000">
              <a:off x="11262049" y="6643189"/>
              <a:ext cx="121918" cy="199853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207" name="текст_ФормулаВерхняяВыноска" descr="Оператор&#10;">
              <a:extLst>
                <a:ext uri="{FF2B5EF4-FFF2-40B4-BE49-F238E27FC236}">
                  <a16:creationId xmlns:a16="http://schemas.microsoft.com/office/drawing/2014/main" id="{1B4C2F37-2973-4A52-8665-E35B15BB3D6B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971993" y="6402998"/>
              <a:ext cx="828000" cy="257175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Оператор</a:t>
              </a:r>
            </a:p>
          </xdr:txBody>
        </xdr:sp>
        <xdr:sp macro="" textlink="">
          <xdr:nvSpPr>
            <xdr:cNvPr id="208" name="ФормулаВерхняяСкобка">
              <a:extLst>
                <a:ext uri="{FF2B5EF4-FFF2-40B4-BE49-F238E27FC236}">
                  <a16:creationId xmlns:a16="http://schemas.microsoft.com/office/drawing/2014/main" id="{1272A68F-37F0-4A7B-B89A-A0390EAF5C54}"/>
                </a:ext>
              </a:extLst>
            </xdr:cNvPr>
            <xdr:cNvSpPr/>
          </xdr:nvSpPr>
          <xdr:spPr>
            <a:xfrm rot="16200000">
              <a:off x="10843170" y="6973646"/>
              <a:ext cx="121918" cy="484113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209" name="текст_ФормулаВерхняяВыноска" descr="Константа&#10;">
              <a:extLst>
                <a:ext uri="{FF2B5EF4-FFF2-40B4-BE49-F238E27FC236}">
                  <a16:creationId xmlns:a16="http://schemas.microsoft.com/office/drawing/2014/main" id="{C3D3BDE9-0CDA-4720-99C6-226649AE3EAE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527633" y="7293605"/>
              <a:ext cx="792000" cy="404103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Константа</a:t>
              </a:r>
            </a:p>
          </xdr:txBody>
        </xdr:sp>
        <xdr:sp macro="" textlink="">
          <xdr:nvSpPr>
            <xdr:cNvPr id="210" name="ФормулаВерхняяСкобка">
              <a:extLst>
                <a:ext uri="{FF2B5EF4-FFF2-40B4-BE49-F238E27FC236}">
                  <a16:creationId xmlns:a16="http://schemas.microsoft.com/office/drawing/2014/main" id="{A2388037-0C8B-4449-A76D-B27DF4538FD1}"/>
                </a:ext>
              </a:extLst>
            </xdr:cNvPr>
            <xdr:cNvSpPr/>
          </xdr:nvSpPr>
          <xdr:spPr>
            <a:xfrm rot="16200000">
              <a:off x="11694101" y="6973189"/>
              <a:ext cx="121918" cy="485027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211" name="текст_ФормулаВерхняяВыноска" descr="Константа&#10;">
              <a:extLst>
                <a:ext uri="{FF2B5EF4-FFF2-40B4-BE49-F238E27FC236}">
                  <a16:creationId xmlns:a16="http://schemas.microsoft.com/office/drawing/2014/main" id="{9CAE6A7E-8E69-4ADE-A18A-4213125DEC6D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1378107" y="7293605"/>
              <a:ext cx="792000" cy="404103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Константа</a:t>
              </a:r>
            </a:p>
          </xdr:txBody>
        </xdr:sp>
      </xdr:grpSp>
      <xdr:grpSp>
        <xdr:nvGrpSpPr>
          <xdr:cNvPr id="172" name="Группа 171">
            <a:extLst>
              <a:ext uri="{FF2B5EF4-FFF2-40B4-BE49-F238E27FC236}">
                <a16:creationId xmlns:a16="http://schemas.microsoft.com/office/drawing/2014/main" id="{27FB8F52-9F55-421A-90F9-FEBBC5A87DF7}"/>
              </a:ext>
            </a:extLst>
          </xdr:cNvPr>
          <xdr:cNvGrpSpPr/>
        </xdr:nvGrpSpPr>
        <xdr:grpSpPr>
          <a:xfrm>
            <a:off x="8257510" y="8164390"/>
            <a:ext cx="3790306" cy="1627310"/>
            <a:chOff x="8257510" y="8164390"/>
            <a:chExt cx="3790306" cy="1627310"/>
          </a:xfrm>
        </xdr:grpSpPr>
        <xdr:sp macro="" textlink="">
          <xdr:nvSpPr>
            <xdr:cNvPr id="191" name="текст_Формула" descr="=СУММ(A1:A10)&#10;">
              <a:extLst>
                <a:ext uri="{FF2B5EF4-FFF2-40B4-BE49-F238E27FC236}">
                  <a16:creationId xmlns:a16="http://schemas.microsoft.com/office/drawing/2014/main" id="{420560C2-240E-4A77-8A25-1E46F3BE03DF}"/>
                </a:ext>
              </a:extLst>
            </xdr:cNvPr>
            <xdr:cNvSpPr txBox="1"/>
          </xdr:nvSpPr>
          <xdr:spPr>
            <a:xfrm>
              <a:off x="8257510" y="8447209"/>
              <a:ext cx="3790306" cy="5029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tIns="0" rIns="0" bIns="0" rtlCol="0" anchor="t"/>
            <a:lstStyle/>
            <a:p>
              <a:pPr marL="0" marR="0" rtl="0">
                <a:spcBef>
                  <a:spcPts val="0"/>
                </a:spcBef>
                <a:spcAft>
                  <a:spcPts val="0"/>
                </a:spcAft>
              </a:pPr>
              <a:r>
                <a:rPr lang="ru" sz="3600">
                  <a:solidFill>
                    <a:srgbClr val="000000"/>
                  </a:solidFill>
                  <a:effectLst/>
                  <a:latin typeface="Courier New" panose="02070309020205020404" pitchFamily="49" charset="0"/>
                  <a:ea typeface="Times New Roman" panose="02020603050405020304" pitchFamily="18" charset="0"/>
                </a:rPr>
                <a:t>=СУММ(A1:A10)</a:t>
              </a:r>
              <a:endParaRPr lang="en-US" sz="360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  <xdr:sp macro="" textlink="">
          <xdr:nvSpPr>
            <xdr:cNvPr id="192" name="ФормулаВерхняяСкобка">
              <a:extLst>
                <a:ext uri="{FF2B5EF4-FFF2-40B4-BE49-F238E27FC236}">
                  <a16:creationId xmlns:a16="http://schemas.microsoft.com/office/drawing/2014/main" id="{5E996462-DB7E-43E7-A8CC-1B53668A75E9}"/>
                </a:ext>
              </a:extLst>
            </xdr:cNvPr>
            <xdr:cNvSpPr/>
          </xdr:nvSpPr>
          <xdr:spPr>
            <a:xfrm rot="5400000">
              <a:off x="9018759" y="8018508"/>
              <a:ext cx="121918" cy="972000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93" name="текст_ФормулаВерхняяВыноска" descr="Функция&#10;">
              <a:extLst>
                <a:ext uri="{FF2B5EF4-FFF2-40B4-BE49-F238E27FC236}">
                  <a16:creationId xmlns:a16="http://schemas.microsoft.com/office/drawing/2014/main" id="{6AD191CA-0328-4A6B-AFF1-5AAC7BCD948A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721896" y="8164390"/>
              <a:ext cx="719605" cy="257175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Функция</a:t>
              </a:r>
            </a:p>
          </xdr:txBody>
        </xdr:sp>
        <xdr:sp macro="" textlink="">
          <xdr:nvSpPr>
            <xdr:cNvPr id="194" name="ФормулаВерхняяСкобка">
              <a:extLst>
                <a:ext uri="{FF2B5EF4-FFF2-40B4-BE49-F238E27FC236}">
                  <a16:creationId xmlns:a16="http://schemas.microsoft.com/office/drawing/2014/main" id="{73DF5926-C31E-49B6-8468-20634B5B1EC6}"/>
                </a:ext>
              </a:extLst>
            </xdr:cNvPr>
            <xdr:cNvSpPr/>
          </xdr:nvSpPr>
          <xdr:spPr>
            <a:xfrm rot="16200000">
              <a:off x="10639269" y="8209016"/>
              <a:ext cx="121918" cy="1594774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95" name="ФормулаВерхняяСкобка">
              <a:extLst>
                <a:ext uri="{FF2B5EF4-FFF2-40B4-BE49-F238E27FC236}">
                  <a16:creationId xmlns:a16="http://schemas.microsoft.com/office/drawing/2014/main" id="{92FCDA5F-895F-4078-BCF6-B3112EDCA2A2}"/>
                </a:ext>
              </a:extLst>
            </xdr:cNvPr>
            <xdr:cNvSpPr/>
          </xdr:nvSpPr>
          <xdr:spPr>
            <a:xfrm rot="5400000">
              <a:off x="10639269" y="7694666"/>
              <a:ext cx="121918" cy="1594774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96" name="текст_ФормулаВерхняяВыноска" descr="Аргумент&#10;">
              <a:extLst>
                <a:ext uri="{FF2B5EF4-FFF2-40B4-BE49-F238E27FC236}">
                  <a16:creationId xmlns:a16="http://schemas.microsoft.com/office/drawing/2014/main" id="{6DD0728E-6D1B-40C6-A4C4-490130F25B82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207666" y="8164390"/>
              <a:ext cx="1005616" cy="257175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Аргумент</a:t>
              </a:r>
            </a:p>
          </xdr:txBody>
        </xdr:sp>
        <xdr:sp macro="" textlink="">
          <xdr:nvSpPr>
            <xdr:cNvPr id="197" name="Текстовое поле 2" descr="Диапазон состоит из начальной ячейки, двоеточия и конечной ячейки. Если выбрать диапазон ячеек для формулы, Excel автоматически добавит двоеточие.&#10;">
              <a:extLst>
                <a:ext uri="{FF2B5EF4-FFF2-40B4-BE49-F238E27FC236}">
                  <a16:creationId xmlns:a16="http://schemas.microsoft.com/office/drawing/2014/main" id="{49197EDE-B2FF-44D2-AFA6-B9EEE1B518CF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612955" y="9112879"/>
              <a:ext cx="3384000" cy="678821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t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Диапазон состоит из начальной ячейки, двоеточия и </a:t>
              </a:r>
              <a:r>
                <a:rPr lang="ru" sz="1100" baseline="0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конечной ячейки. Если выбрать диапазон ячеек для формулы, Excel автоматически добавит двоеточие.</a:t>
              </a:r>
              <a:endParaRPr lang="en-US" sz="1100">
                <a:effectLst/>
                <a:latin typeface="+mn-lt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0" marR="0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 </a:t>
              </a:r>
            </a:p>
          </xdr:txBody>
        </xdr:sp>
      </xdr:grpSp>
      <xdr:grpSp>
        <xdr:nvGrpSpPr>
          <xdr:cNvPr id="173" name="Группа 172">
            <a:extLst>
              <a:ext uri="{FF2B5EF4-FFF2-40B4-BE49-F238E27FC236}">
                <a16:creationId xmlns:a16="http://schemas.microsoft.com/office/drawing/2014/main" id="{00BBB77A-8EDC-44E9-8BC6-1F471670BF40}"/>
              </a:ext>
            </a:extLst>
          </xdr:cNvPr>
          <xdr:cNvGrpSpPr/>
        </xdr:nvGrpSpPr>
        <xdr:grpSpPr>
          <a:xfrm>
            <a:off x="8257510" y="10012240"/>
            <a:ext cx="7392065" cy="2141660"/>
            <a:chOff x="8257510" y="10012240"/>
            <a:chExt cx="7392065" cy="2141660"/>
          </a:xfrm>
        </xdr:grpSpPr>
        <xdr:sp macro="" textlink="">
          <xdr:nvSpPr>
            <xdr:cNvPr id="174" name="текст_Формула" descr="=СУММ(A1:A10;C1:C10)&#10;">
              <a:extLst>
                <a:ext uri="{FF2B5EF4-FFF2-40B4-BE49-F238E27FC236}">
                  <a16:creationId xmlns:a16="http://schemas.microsoft.com/office/drawing/2014/main" id="{4939E1EA-5EC9-4CD9-BA9B-F78E39B2FE8C}"/>
                </a:ext>
              </a:extLst>
            </xdr:cNvPr>
            <xdr:cNvSpPr txBox="1"/>
          </xdr:nvSpPr>
          <xdr:spPr>
            <a:xfrm>
              <a:off x="8257510" y="10628434"/>
              <a:ext cx="5544000" cy="5029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tIns="0" rIns="0" bIns="0" rtlCol="0" anchor="t"/>
            <a:lstStyle/>
            <a:p>
              <a:pPr marL="0" marR="0" rtl="0">
                <a:spcBef>
                  <a:spcPts val="0"/>
                </a:spcBef>
                <a:spcAft>
                  <a:spcPts val="0"/>
                </a:spcAft>
              </a:pPr>
              <a:r>
                <a:rPr lang="ru" sz="3600">
                  <a:solidFill>
                    <a:srgbClr val="000000"/>
                  </a:solidFill>
                  <a:effectLst/>
                  <a:latin typeface="Courier New" panose="02070309020205020404" pitchFamily="49" charset="0"/>
                  <a:ea typeface="Times New Roman" panose="02020603050405020304" pitchFamily="18" charset="0"/>
                </a:rPr>
                <a:t>=СУММ(A1:A10;C1:C10)</a:t>
              </a:r>
              <a:endParaRPr lang="en-US" sz="360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  <xdr:sp macro="" textlink="">
          <xdr:nvSpPr>
            <xdr:cNvPr id="175" name="ФормулаВерхняяСкобка">
              <a:extLst>
                <a:ext uri="{FF2B5EF4-FFF2-40B4-BE49-F238E27FC236}">
                  <a16:creationId xmlns:a16="http://schemas.microsoft.com/office/drawing/2014/main" id="{2C0CD1F5-7F26-459E-A30A-75B89D0DDE18}"/>
                </a:ext>
              </a:extLst>
            </xdr:cNvPr>
            <xdr:cNvSpPr/>
          </xdr:nvSpPr>
          <xdr:spPr>
            <a:xfrm rot="5400000">
              <a:off x="9047334" y="10199733"/>
              <a:ext cx="121918" cy="972000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76" name="текст_ФормулаВерхняяВыноска" descr="Функция&#10;">
              <a:extLst>
                <a:ext uri="{FF2B5EF4-FFF2-40B4-BE49-F238E27FC236}">
                  <a16:creationId xmlns:a16="http://schemas.microsoft.com/office/drawing/2014/main" id="{19E9801B-D128-4AB7-8DE6-607106C308D9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759996" y="10345615"/>
              <a:ext cx="719605" cy="257175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Функция</a:t>
              </a:r>
            </a:p>
          </xdr:txBody>
        </xdr:sp>
        <xdr:sp macro="" textlink="">
          <xdr:nvSpPr>
            <xdr:cNvPr id="177" name="ФормулаВерхняяСкобка">
              <a:extLst>
                <a:ext uri="{FF2B5EF4-FFF2-40B4-BE49-F238E27FC236}">
                  <a16:creationId xmlns:a16="http://schemas.microsoft.com/office/drawing/2014/main" id="{E87F0EBE-F231-4EF8-9B82-25664E51185C}"/>
                </a:ext>
              </a:extLst>
            </xdr:cNvPr>
            <xdr:cNvSpPr/>
          </xdr:nvSpPr>
          <xdr:spPr>
            <a:xfrm rot="5400000">
              <a:off x="10639269" y="9875891"/>
              <a:ext cx="121918" cy="1594774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78" name="текст_ФормулаВерхняяВыноска" descr="Аргумент&#10;">
              <a:extLst>
                <a:ext uri="{FF2B5EF4-FFF2-40B4-BE49-F238E27FC236}">
                  <a16:creationId xmlns:a16="http://schemas.microsoft.com/office/drawing/2014/main" id="{C70B59B4-A903-4D48-B1D5-54CDD75E516A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207666" y="10345615"/>
              <a:ext cx="1005616" cy="257175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Аргумент</a:t>
              </a:r>
            </a:p>
          </xdr:txBody>
        </xdr:sp>
        <xdr:sp macro="" textlink="">
          <xdr:nvSpPr>
            <xdr:cNvPr id="179" name="ФормулаВерхняяСкобка">
              <a:extLst>
                <a:ext uri="{FF2B5EF4-FFF2-40B4-BE49-F238E27FC236}">
                  <a16:creationId xmlns:a16="http://schemas.microsoft.com/office/drawing/2014/main" id="{82278071-0D09-4DA0-8A4B-E79650C6B154}"/>
                </a:ext>
              </a:extLst>
            </xdr:cNvPr>
            <xdr:cNvSpPr/>
          </xdr:nvSpPr>
          <xdr:spPr>
            <a:xfrm rot="5400000">
              <a:off x="12591894" y="9875891"/>
              <a:ext cx="121918" cy="1594774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80" name="текст_ФормулаВерхняяВыноска" descr="Аргумент&#10;">
              <a:extLst>
                <a:ext uri="{FF2B5EF4-FFF2-40B4-BE49-F238E27FC236}">
                  <a16:creationId xmlns:a16="http://schemas.microsoft.com/office/drawing/2014/main" id="{681E05A6-833F-4DB8-8D40-D39B82D06561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2131716" y="10345615"/>
              <a:ext cx="1005616" cy="257175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Аргумент</a:t>
              </a:r>
            </a:p>
          </xdr:txBody>
        </xdr:sp>
        <xdr:sp macro="" textlink="">
          <xdr:nvSpPr>
            <xdr:cNvPr id="181" name="ФормулаВерхняяСкобка">
              <a:extLst>
                <a:ext uri="{FF2B5EF4-FFF2-40B4-BE49-F238E27FC236}">
                  <a16:creationId xmlns:a16="http://schemas.microsoft.com/office/drawing/2014/main" id="{CBAEE9F7-8844-4CF2-908C-4D4F53F93F05}"/>
                </a:ext>
              </a:extLst>
            </xdr:cNvPr>
            <xdr:cNvSpPr/>
          </xdr:nvSpPr>
          <xdr:spPr>
            <a:xfrm rot="16200000">
              <a:off x="10639269" y="10399766"/>
              <a:ext cx="121918" cy="1594774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82" name="Текстовое поле 2" descr="Диапазон ячеек">
              <a:extLst>
                <a:ext uri="{FF2B5EF4-FFF2-40B4-BE49-F238E27FC236}">
                  <a16:creationId xmlns:a16="http://schemas.microsoft.com/office/drawing/2014/main" id="{F2C22149-D656-439A-9A85-5A52AF811D24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108381" y="11303630"/>
              <a:ext cx="1217428" cy="278770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t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Диапазон ячеек</a:t>
              </a:r>
            </a:p>
            <a:p>
              <a:pPr marL="0" marR="0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 </a:t>
              </a:r>
            </a:p>
          </xdr:txBody>
        </xdr:sp>
        <xdr:sp macro="" textlink="">
          <xdr:nvSpPr>
            <xdr:cNvPr id="183" name="ФормулаВерхняяСкобка">
              <a:extLst>
                <a:ext uri="{FF2B5EF4-FFF2-40B4-BE49-F238E27FC236}">
                  <a16:creationId xmlns:a16="http://schemas.microsoft.com/office/drawing/2014/main" id="{BDF364CA-3E92-4EF9-B69D-8D2A8D6D02DC}"/>
                </a:ext>
              </a:extLst>
            </xdr:cNvPr>
            <xdr:cNvSpPr/>
          </xdr:nvSpPr>
          <xdr:spPr>
            <a:xfrm rot="16200000">
              <a:off x="12601419" y="10399766"/>
              <a:ext cx="121918" cy="1594774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84" name="Текстовое поле 2" descr="Другой диапазон ячеек">
              <a:extLst>
                <a:ext uri="{FF2B5EF4-FFF2-40B4-BE49-F238E27FC236}">
                  <a16:creationId xmlns:a16="http://schemas.microsoft.com/office/drawing/2014/main" id="{C0CFC16F-09CC-4EBF-8B9B-7929710E5AE9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1821109" y="11303630"/>
              <a:ext cx="1773422" cy="278770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t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Другой диапазон ячеек</a:t>
              </a:r>
            </a:p>
            <a:p>
              <a:pPr marL="0" marR="0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 </a:t>
              </a:r>
            </a:p>
          </xdr:txBody>
        </xdr:sp>
        <xdr:sp macro="" textlink="">
          <xdr:nvSpPr>
            <xdr:cNvPr id="185" name="текст_ФормулаВерхняяВыноска" descr="Просуммировать следующее:&#10;">
              <a:extLst>
                <a:ext uri="{FF2B5EF4-FFF2-40B4-BE49-F238E27FC236}">
                  <a16:creationId xmlns:a16="http://schemas.microsoft.com/office/drawing/2014/main" id="{130455C0-2F1E-4116-928D-8EF2832DD8B1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1626891" y="10012240"/>
              <a:ext cx="2729639" cy="25717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Аргументы разделяются точкой с запятой</a:t>
              </a:r>
            </a:p>
          </xdr:txBody>
        </xdr:sp>
        <xdr:sp macro="" textlink="">
          <xdr:nvSpPr>
            <xdr:cNvPr id="186" name="Стрелка «Дополнительно»" descr="Стрелка">
              <a:extLst>
                <a:ext uri="{FF2B5EF4-FFF2-40B4-BE49-F238E27FC236}">
                  <a16:creationId xmlns:a16="http://schemas.microsoft.com/office/drawing/2014/main" id="{F20E0373-D1E2-4164-9D1E-AA0D75CDAB33}"/>
                </a:ext>
              </a:extLst>
            </xdr:cNvPr>
            <xdr:cNvSpPr/>
          </xdr:nvSpPr>
          <xdr:spPr>
            <a:xfrm rot="16200000">
              <a:off x="11415721" y="10436986"/>
              <a:ext cx="1009649" cy="462029"/>
            </a:xfrm>
            <a:prstGeom prst="arc">
              <a:avLst>
                <a:gd name="adj1" fmla="val 15011426"/>
                <a:gd name="adj2" fmla="val 20561228"/>
              </a:avLst>
            </a:prstGeom>
            <a:ln w="19050">
              <a:solidFill>
                <a:schemeClr val="accent2">
                  <a:lumMod val="60000"/>
                  <a:lumOff val="40000"/>
                </a:schemeClr>
              </a:solidFill>
              <a:head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 rtl="0"/>
              <a:endParaRPr lang="en-US" sz="1100"/>
            </a:p>
          </xdr:txBody>
        </xdr:sp>
        <xdr:sp macro="" textlink="">
          <xdr:nvSpPr>
            <xdr:cNvPr id="187" name="текст_ФормулаВерхняяВыноска" descr="Открывающая круглая скобка&#10;&#10;">
              <a:extLst>
                <a:ext uri="{FF2B5EF4-FFF2-40B4-BE49-F238E27FC236}">
                  <a16:creationId xmlns:a16="http://schemas.microsoft.com/office/drawing/2014/main" id="{3BD902AA-A598-43E6-A0A7-09904DC6E032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721766" y="11698165"/>
              <a:ext cx="2729639" cy="25717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Открывающая круглая скобка</a:t>
              </a:r>
            </a:p>
          </xdr:txBody>
        </xdr:sp>
        <xdr:sp macro="" textlink="">
          <xdr:nvSpPr>
            <xdr:cNvPr id="188" name="Стрелка «Дополнительно»" descr="Стрелка">
              <a:extLst>
                <a:ext uri="{FF2B5EF4-FFF2-40B4-BE49-F238E27FC236}">
                  <a16:creationId xmlns:a16="http://schemas.microsoft.com/office/drawing/2014/main" id="{50512362-8176-4282-96DD-0E5296EA5938}"/>
                </a:ext>
              </a:extLst>
            </xdr:cNvPr>
            <xdr:cNvSpPr/>
          </xdr:nvSpPr>
          <xdr:spPr>
            <a:xfrm rot="16200000" flipH="1">
              <a:off x="9558346" y="11027536"/>
              <a:ext cx="1009649" cy="462029"/>
            </a:xfrm>
            <a:prstGeom prst="arc">
              <a:avLst>
                <a:gd name="adj1" fmla="val 15011426"/>
                <a:gd name="adj2" fmla="val 20561228"/>
              </a:avLst>
            </a:prstGeom>
            <a:ln w="19050">
              <a:solidFill>
                <a:schemeClr val="accent2">
                  <a:lumMod val="60000"/>
                  <a:lumOff val="40000"/>
                </a:schemeClr>
              </a:solidFill>
              <a:head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 rtl="0"/>
              <a:endParaRPr lang="en-US" sz="1100"/>
            </a:p>
          </xdr:txBody>
        </xdr:sp>
        <xdr:sp macro="" textlink="">
          <xdr:nvSpPr>
            <xdr:cNvPr id="189" name="текст_ФормулаВерхняяВыноска" descr="Закрывающая круглая скобка. Excel обычно добавляет ее автоматически при нажатии клавиши ВВОД.&#10;&#10;">
              <a:extLst>
                <a:ext uri="{FF2B5EF4-FFF2-40B4-BE49-F238E27FC236}">
                  <a16:creationId xmlns:a16="http://schemas.microsoft.com/office/drawing/2014/main" id="{559086FB-E2A5-4229-BC6F-5221672A30BE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2122191" y="11698165"/>
              <a:ext cx="3527384" cy="455735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ctr" anchorCtr="0">
              <a:noAutofit/>
            </a:bodyPr>
            <a:lstStyle/>
            <a:p>
              <a:pPr marL="0" marR="0" algn="ctr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Закрывающая круглая скобка. Excel обычно добавляет ее автоматически при</a:t>
              </a:r>
              <a:r>
                <a:rPr lang="ru" sz="1100" baseline="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 нажатии клавиши </a:t>
              </a:r>
              <a:r>
                <a:rPr lang="ru" sz="1100" b="1" baseline="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ВВОД</a:t>
              </a:r>
              <a:r>
                <a:rPr lang="ru" sz="1100" baseline="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.</a:t>
              </a:r>
              <a:endParaRPr lang="en-US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90" name="Стрелка «Дополнительно»" descr="Стрелка">
              <a:extLst>
                <a:ext uri="{FF2B5EF4-FFF2-40B4-BE49-F238E27FC236}">
                  <a16:creationId xmlns:a16="http://schemas.microsoft.com/office/drawing/2014/main" id="{C318E433-BAE2-4CBB-8FB1-AE0D7270E614}"/>
                </a:ext>
              </a:extLst>
            </xdr:cNvPr>
            <xdr:cNvSpPr/>
          </xdr:nvSpPr>
          <xdr:spPr>
            <a:xfrm rot="3731154">
              <a:off x="12803801" y="11050117"/>
              <a:ext cx="1340711" cy="462029"/>
            </a:xfrm>
            <a:prstGeom prst="arc">
              <a:avLst>
                <a:gd name="adj1" fmla="val 15011426"/>
                <a:gd name="adj2" fmla="val 20616247"/>
              </a:avLst>
            </a:prstGeom>
            <a:ln w="19050">
              <a:solidFill>
                <a:schemeClr val="accent2">
                  <a:lumMod val="60000"/>
                  <a:lumOff val="40000"/>
                </a:schemeClr>
              </a:solidFill>
              <a:head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 rtl="0"/>
              <a:endParaRPr lang="en-US" sz="1100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342900</xdr:colOff>
      <xdr:row>72</xdr:row>
      <xdr:rowOff>15716</xdr:rowOff>
    </xdr:from>
    <xdr:to>
      <xdr:col>1</xdr:col>
      <xdr:colOff>5228464</xdr:colOff>
      <xdr:row>90</xdr:row>
      <xdr:rowOff>84189</xdr:rowOff>
    </xdr:to>
    <xdr:grpSp>
      <xdr:nvGrpSpPr>
        <xdr:cNvPr id="180" name="Дополнительно в Интернете" descr="Дополнительные сведения в Интернете со ссылками на веб-страницы&#10;В начало страницы&#10;Следующий шаг">
          <a:extLst>
            <a:ext uri="{FF2B5EF4-FFF2-40B4-BE49-F238E27FC236}">
              <a16:creationId xmlns:a16="http://schemas.microsoft.com/office/drawing/2014/main" id="{ABD21ECB-A0A3-4E0D-861E-B3FBCE376575}"/>
            </a:ext>
          </a:extLst>
        </xdr:cNvPr>
        <xdr:cNvGrpSpPr/>
      </xdr:nvGrpSpPr>
      <xdr:grpSpPr>
        <a:xfrm>
          <a:off x="342900" y="14303216"/>
          <a:ext cx="5733289" cy="3497473"/>
          <a:chOff x="323850" y="16289765"/>
          <a:chExt cx="5737224" cy="3349188"/>
        </a:xfrm>
      </xdr:grpSpPr>
      <xdr:sp macro="" textlink="">
        <xdr:nvSpPr>
          <xdr:cNvPr id="181" name="Прямоугольник 180">
            <a:extLst>
              <a:ext uri="{FF2B5EF4-FFF2-40B4-BE49-F238E27FC236}">
                <a16:creationId xmlns:a16="http://schemas.microsoft.com/office/drawing/2014/main" id="{EAA4229D-20C0-4C8C-B547-F8660867DCFA}"/>
              </a:ext>
            </a:extLst>
          </xdr:cNvPr>
          <xdr:cNvSpPr/>
        </xdr:nvSpPr>
        <xdr:spPr>
          <a:xfrm>
            <a:off x="323850" y="16289765"/>
            <a:ext cx="5737224" cy="3349188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/>
          </a:p>
        </xdr:txBody>
      </xdr:sp>
      <xdr:sp macro="" textlink="">
        <xdr:nvSpPr>
          <xdr:cNvPr id="182" name="Шаг" descr="Дополнительные сведения в Интернете&#10;">
            <a:extLst>
              <a:ext uri="{FF2B5EF4-FFF2-40B4-BE49-F238E27FC236}">
                <a16:creationId xmlns:a16="http://schemas.microsoft.com/office/drawing/2014/main" id="{9CE68B18-1C76-45F8-8E5A-72898F80A45D}"/>
              </a:ext>
            </a:extLst>
          </xdr:cNvPr>
          <xdr:cNvSpPr txBox="1"/>
        </xdr:nvSpPr>
        <xdr:spPr>
          <a:xfrm>
            <a:off x="546067" y="16408459"/>
            <a:ext cx="5257825" cy="471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Дополнительные сведения в Интернете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cxnSp macro="">
        <xdr:nvCxnSpPr>
          <xdr:cNvPr id="183" name="Прямая соединительная линия 182" descr="Декоративная линия">
            <a:extLst>
              <a:ext uri="{FF2B5EF4-FFF2-40B4-BE49-F238E27FC236}">
                <a16:creationId xmlns:a16="http://schemas.microsoft.com/office/drawing/2014/main" id="{4539B486-E07C-48F8-9EDA-2AE83C69E95B}"/>
              </a:ext>
            </a:extLst>
          </xdr:cNvPr>
          <xdr:cNvCxnSpPr>
            <a:cxnSpLocks/>
          </xdr:cNvCxnSpPr>
        </xdr:nvCxnSpPr>
        <xdr:spPr>
          <a:xfrm>
            <a:off x="546067" y="16896835"/>
            <a:ext cx="5254651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4" name="Кнопка «Далее»" descr="Кнопка «В начало страницы» с гиперссылкой на ячейку A1">
            <a:hlinkClick xmlns:r="http://schemas.openxmlformats.org/officeDocument/2006/relationships" r:id="rId1" tooltip="Выберите, чтобы вернуться в ячейку A1 на этом листе"/>
            <a:extLst>
              <a:ext uri="{FF2B5EF4-FFF2-40B4-BE49-F238E27FC236}">
                <a16:creationId xmlns:a16="http://schemas.microsoft.com/office/drawing/2014/main" id="{95BB311B-A2C7-4A68-9A8B-82CD5B1C75D5}"/>
              </a:ext>
            </a:extLst>
          </xdr:cNvPr>
          <xdr:cNvSpPr/>
        </xdr:nvSpPr>
        <xdr:spPr>
          <a:xfrm>
            <a:off x="558774" y="18937746"/>
            <a:ext cx="2764342" cy="523755"/>
          </a:xfrm>
          <a:prstGeom prst="upArrowCallout">
            <a:avLst/>
          </a:prstGeom>
          <a:solidFill>
            <a:schemeClr val="bg1">
              <a:lumMod val="85000"/>
            </a:schemeClr>
          </a:solidFill>
          <a:ln>
            <a:solidFill>
              <a:srgbClr val="0B744D">
                <a:alpha val="50000"/>
              </a:srgbClr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rtl="0"/>
            <a:r>
              <a:rPr lang="ru" sz="1200">
                <a:solidFill>
                  <a:srgbClr val="0B744D"/>
                </a:solidFill>
                <a:latin typeface="Segoe UI" pitchFamily="34" charset="0"/>
                <a:ea typeface="Segoe UI" pitchFamily="34" charset="0"/>
                <a:cs typeface="Segoe UI" pitchFamily="34" charset="0"/>
              </a:rPr>
              <a:t>В начало страницы</a:t>
            </a:r>
          </a:p>
        </xdr:txBody>
      </xdr:sp>
      <xdr:cxnSp macro="">
        <xdr:nvCxnSpPr>
          <xdr:cNvPr id="185" name="Прямая соединительная линия 184" descr="Декоративная линия">
            <a:extLst>
              <a:ext uri="{FF2B5EF4-FFF2-40B4-BE49-F238E27FC236}">
                <a16:creationId xmlns:a16="http://schemas.microsoft.com/office/drawing/2014/main" id="{31604368-D311-4E9B-8820-4730030A0801}"/>
              </a:ext>
            </a:extLst>
          </xdr:cNvPr>
          <xdr:cNvCxnSpPr>
            <a:cxnSpLocks/>
          </xdr:cNvCxnSpPr>
        </xdr:nvCxnSpPr>
        <xdr:spPr>
          <a:xfrm>
            <a:off x="546067" y="18844484"/>
            <a:ext cx="5254651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6" name="Кнопка «Далее»" descr="Кнопка «Следующий шаг» с гиперссылкой на следующий лист">
            <a:hlinkClick xmlns:r="http://schemas.openxmlformats.org/officeDocument/2006/relationships" r:id="rId2" tooltip="Щелкните здесь, чтобы перейти на следующий лист"/>
            <a:extLst>
              <a:ext uri="{FF2B5EF4-FFF2-40B4-BE49-F238E27FC236}">
                <a16:creationId xmlns:a16="http://schemas.microsoft.com/office/drawing/2014/main" id="{4F102BCA-DDCB-4390-A653-445B336B333A}"/>
              </a:ext>
            </a:extLst>
          </xdr:cNvPr>
          <xdr:cNvSpPr/>
        </xdr:nvSpPr>
        <xdr:spPr>
          <a:xfrm>
            <a:off x="4211012" y="19121893"/>
            <a:ext cx="1621113" cy="342142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200">
                <a:solidFill>
                  <a:srgbClr val="0B744D"/>
                </a:solidFill>
                <a:latin typeface="Segoe UI" pitchFamily="34" charset="0"/>
                <a:ea typeface="Segoe UI" pitchFamily="34" charset="0"/>
                <a:cs typeface="Segoe UI" pitchFamily="34" charset="0"/>
              </a:rPr>
              <a:t>Следующий шаг</a:t>
            </a:r>
          </a:p>
        </xdr:txBody>
      </xdr:sp>
      <xdr:sp macro="" textlink="">
        <xdr:nvSpPr>
          <xdr:cNvPr id="187" name="Шаг" descr="Гиперссылка на веб-страницу «Все о функции СУММ»&#10;&#10;">
            <a:hlinkClick xmlns:r="http://schemas.openxmlformats.org/officeDocument/2006/relationships" r:id="rId3" tooltip="Подробные сведения в Интернете о функции СУММ"/>
            <a:extLst>
              <a:ext uri="{FF2B5EF4-FFF2-40B4-BE49-F238E27FC236}">
                <a16:creationId xmlns:a16="http://schemas.microsoft.com/office/drawing/2014/main" id="{AB2D976E-4F84-41AE-9EC8-DB5589E60A01}"/>
              </a:ext>
            </a:extLst>
          </xdr:cNvPr>
          <xdr:cNvSpPr txBox="1"/>
        </xdr:nvSpPr>
        <xdr:spPr>
          <a:xfrm>
            <a:off x="1003908" y="17059210"/>
            <a:ext cx="1904391" cy="3037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СУММ</a:t>
            </a:r>
          </a:p>
        </xdr:txBody>
      </xdr:sp>
      <xdr:pic>
        <xdr:nvPicPr>
          <xdr:cNvPr id="188" name="Графический объект 22" descr="Стрелка">
            <a:hlinkClick xmlns:r="http://schemas.openxmlformats.org/officeDocument/2006/relationships" r:id="rId3" tooltip="Дополнительные сведения в Интернете"/>
            <a:extLst>
              <a:ext uri="{FF2B5EF4-FFF2-40B4-BE49-F238E27FC236}">
                <a16:creationId xmlns:a16="http://schemas.microsoft.com/office/drawing/2014/main" id="{F5021BED-368D-4D1A-AE22-23F2D9D9A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535353" y="16970286"/>
            <a:ext cx="495829" cy="429422"/>
          </a:xfrm>
          <a:prstGeom prst="rect">
            <a:avLst/>
          </a:prstGeom>
        </xdr:spPr>
      </xdr:pic>
      <xdr:sp macro="" textlink="">
        <xdr:nvSpPr>
          <xdr:cNvPr id="189" name="Шаг" descr="Гиперссылка на веб-страницу об использовании функции «Автосумма» для суммирования чисел&#10;">
            <a:hlinkClick xmlns:r="http://schemas.openxmlformats.org/officeDocument/2006/relationships" r:id="rId6" tooltip="Сведения в Интернете об использовании функции «Автосумма» для суммирования чисел"/>
            <a:extLst>
              <a:ext uri="{FF2B5EF4-FFF2-40B4-BE49-F238E27FC236}">
                <a16:creationId xmlns:a16="http://schemas.microsoft.com/office/drawing/2014/main" id="{E8AF0476-BB01-4EAA-81FC-EFE0808FE13E}"/>
              </a:ext>
            </a:extLst>
          </xdr:cNvPr>
          <xdr:cNvSpPr txBox="1"/>
        </xdr:nvSpPr>
        <xdr:spPr>
          <a:xfrm>
            <a:off x="1003907" y="17511116"/>
            <a:ext cx="4437689" cy="2777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Использование функции «Автосумма»</a:t>
            </a:r>
            <a:r>
              <a:rPr lang="ru" sz="1100" u="sng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для суммирования чисел</a:t>
            </a:r>
            <a:endParaRPr lang="en-US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90" name="Графический объект 22" descr="Стрелка">
            <a:hlinkClick xmlns:r="http://schemas.openxmlformats.org/officeDocument/2006/relationships" r:id="rId6" tooltip="Дополнительные сведения в Интернете"/>
            <a:extLst>
              <a:ext uri="{FF2B5EF4-FFF2-40B4-BE49-F238E27FC236}">
                <a16:creationId xmlns:a16="http://schemas.microsoft.com/office/drawing/2014/main" id="{5658871C-FCE3-481C-98FE-3BC3FCBCDE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535353" y="17409092"/>
            <a:ext cx="495829" cy="435772"/>
          </a:xfrm>
          <a:prstGeom prst="rect">
            <a:avLst/>
          </a:prstGeom>
        </xdr:spPr>
      </xdr:pic>
      <xdr:sp macro="" textlink="">
        <xdr:nvSpPr>
          <xdr:cNvPr id="191" name="Шаг" descr="Гиперссылка на веб-страницу о функции СЧЁТ&#10;">
            <a:hlinkClick xmlns:r="http://schemas.openxmlformats.org/officeDocument/2006/relationships" r:id="rId7" tooltip="Подробные сведения о функции СЧЁТ в Интернете"/>
            <a:extLst>
              <a:ext uri="{FF2B5EF4-FFF2-40B4-BE49-F238E27FC236}">
                <a16:creationId xmlns:a16="http://schemas.microsoft.com/office/drawing/2014/main" id="{9FF9A895-01D5-42A2-8C16-126975374E45}"/>
              </a:ext>
            </a:extLst>
          </xdr:cNvPr>
          <xdr:cNvSpPr txBox="1"/>
        </xdr:nvSpPr>
        <xdr:spPr>
          <a:xfrm>
            <a:off x="1003908" y="17959242"/>
            <a:ext cx="2169366" cy="2841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СЧЁТ</a:t>
            </a:r>
          </a:p>
        </xdr:txBody>
      </xdr:sp>
      <xdr:pic>
        <xdr:nvPicPr>
          <xdr:cNvPr id="192" name="Графический объект 22" descr="Стрелка">
            <a:hlinkClick xmlns:r="http://schemas.openxmlformats.org/officeDocument/2006/relationships" r:id="rId7" tooltip="Дополнительные сведения в Интернете"/>
            <a:extLst>
              <a:ext uri="{FF2B5EF4-FFF2-40B4-BE49-F238E27FC236}">
                <a16:creationId xmlns:a16="http://schemas.microsoft.com/office/drawing/2014/main" id="{C74A6681-1C06-4BF0-851E-51883A12B8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535353" y="17863548"/>
            <a:ext cx="495829" cy="429422"/>
          </a:xfrm>
          <a:prstGeom prst="rect">
            <a:avLst/>
          </a:prstGeom>
        </xdr:spPr>
      </xdr:pic>
      <xdr:sp macro="" textlink="">
        <xdr:nvSpPr>
          <xdr:cNvPr id="193" name="Шаг" descr="Гиперссылка на бесплатные учебные веб-курсы по Excel&#10;">
            <a:hlinkClick xmlns:r="http://schemas.openxmlformats.org/officeDocument/2006/relationships" r:id="rId8" tooltip="Сведения о бесплатных учебных веб-курсах по Excel"/>
            <a:extLst>
              <a:ext uri="{FF2B5EF4-FFF2-40B4-BE49-F238E27FC236}">
                <a16:creationId xmlns:a16="http://schemas.microsoft.com/office/drawing/2014/main" id="{62BCA8C0-A9F1-4706-AAE7-F42F5ABFF970}"/>
              </a:ext>
            </a:extLst>
          </xdr:cNvPr>
          <xdr:cNvSpPr txBox="1"/>
        </xdr:nvSpPr>
        <xdr:spPr>
          <a:xfrm>
            <a:off x="1016608" y="18405411"/>
            <a:ext cx="2877536" cy="2973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Бесплатные учебные веб-курсы по Excel</a:t>
            </a:r>
          </a:p>
        </xdr:txBody>
      </xdr:sp>
      <xdr:pic>
        <xdr:nvPicPr>
          <xdr:cNvPr id="194" name="Графический объект 22" descr="Стрелка">
            <a:hlinkClick xmlns:r="http://schemas.openxmlformats.org/officeDocument/2006/relationships" r:id="rId8" tooltip="Дополнительные сведения в Интернете"/>
            <a:extLst>
              <a:ext uri="{FF2B5EF4-FFF2-40B4-BE49-F238E27FC236}">
                <a16:creationId xmlns:a16="http://schemas.microsoft.com/office/drawing/2014/main" id="{E7050C61-30E3-4AD4-A14D-97295961B1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548053" y="18310120"/>
            <a:ext cx="495829" cy="43577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695327</xdr:colOff>
      <xdr:row>51</xdr:row>
      <xdr:rowOff>6347</xdr:rowOff>
    </xdr:from>
    <xdr:to>
      <xdr:col>6</xdr:col>
      <xdr:colOff>571497</xdr:colOff>
      <xdr:row>63</xdr:row>
      <xdr:rowOff>28578</xdr:rowOff>
    </xdr:to>
    <xdr:grpSp>
      <xdr:nvGrpSpPr>
        <xdr:cNvPr id="195" name="ВАЖНО" descr="ВАЖНЫЕ СВЕДЕНИЯ&#10;Дважды щелкните эту ячейку. Вы заметите число 100 в конце. Хотя в формулу можно вставлять числа таким образом, делайте это только в исключительных случаях. Это число называется константой, и вы легко можете забыть о его наличии в формуле. Вместо этого рекомендуется включить ссылку на другую ячейку. Вы легко заметите константу, которая не будет скрыта в формуле.&#10;">
          <a:extLst>
            <a:ext uri="{FF2B5EF4-FFF2-40B4-BE49-F238E27FC236}">
              <a16:creationId xmlns:a16="http://schemas.microsoft.com/office/drawing/2014/main" id="{74BFEDDD-8921-45D1-999F-60CB0E0DD7BD}"/>
            </a:ext>
          </a:extLst>
        </xdr:cNvPr>
        <xdr:cNvGrpSpPr/>
      </xdr:nvGrpSpPr>
      <xdr:grpSpPr>
        <a:xfrm>
          <a:off x="7067552" y="10293347"/>
          <a:ext cx="3562345" cy="2308231"/>
          <a:chOff x="7433747" y="10960177"/>
          <a:chExt cx="3714745" cy="2229392"/>
        </a:xfrm>
      </xdr:grpSpPr>
      <xdr:sp macro="" textlink="">
        <xdr:nvSpPr>
          <xdr:cNvPr id="196" name="Инструкция" descr="ВАЖНЫЕ СВЕДЕНИЯ&#10;Дважды щелкните эту ячейку. Вы заметите число 100 в конце. Хотя в формулу можно вставлять числа таким образом, делайте это только в исключительных случаях. Это число называется константой, и вы легко можете забыть о его наличии в формуле. Вместо этого рекомендуется включить ссылку на другую ячейку, например D16. Значения, которые не будут скрыты в формуле, гораздо проще найти. &#10;&#10;">
            <a:extLst>
              <a:ext uri="{FF2B5EF4-FFF2-40B4-BE49-F238E27FC236}">
                <a16:creationId xmlns:a16="http://schemas.microsoft.com/office/drawing/2014/main" id="{1FE4BFF8-BF17-48D3-9562-7351530CBA15}"/>
              </a:ext>
            </a:extLst>
          </xdr:cNvPr>
          <xdr:cNvSpPr txBox="1"/>
        </xdr:nvSpPr>
        <xdr:spPr>
          <a:xfrm>
            <a:off x="7719493" y="11363325"/>
            <a:ext cx="3428999" cy="1826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ВАЖНО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Дважды щелкните эту ячейку. Вы заметите число </a:t>
            </a:r>
            <a:r>
              <a:rPr lang="ru" sz="1100" b="0" i="1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100 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в конце. Хотя в формулу можно вставлять числа таким образом, делайте это только в исключительных случаях. Это число называется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константой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, и вы легко можете забыть о его наличии в формуле. Вместо этого рекомендуется включить ссылку на другую ячейку, например F51. Значения, которые не будут скрыты в формуле, гораздо проще найти. </a:t>
            </a:r>
            <a:endParaRPr lang="en-US" sz="1100">
              <a:effectLst/>
            </a:endParaRPr>
          </a:p>
        </xdr:txBody>
      </xdr:sp>
      <xdr:pic>
        <xdr:nvPicPr>
          <xdr:cNvPr id="197" name="Лупа" descr="Лупа">
            <a:extLst>
              <a:ext uri="{FF2B5EF4-FFF2-40B4-BE49-F238E27FC236}">
                <a16:creationId xmlns:a16="http://schemas.microsoft.com/office/drawing/2014/main" id="{BD3806F3-ED82-4149-875A-74D812F8E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 flipH="1">
            <a:off x="7433747" y="11420475"/>
            <a:ext cx="352313" cy="339611"/>
          </a:xfrm>
          <a:prstGeom prst="rect">
            <a:avLst/>
          </a:prstGeom>
        </xdr:spPr>
      </xdr:pic>
      <xdr:sp macro="" textlink="">
        <xdr:nvSpPr>
          <xdr:cNvPr id="198" name="Стрелка" descr="Стрелка">
            <a:extLst>
              <a:ext uri="{FF2B5EF4-FFF2-40B4-BE49-F238E27FC236}">
                <a16:creationId xmlns:a16="http://schemas.microsoft.com/office/drawing/2014/main" id="{AD1DFADD-C889-466B-A332-624664B0EE01}"/>
              </a:ext>
            </a:extLst>
          </xdr:cNvPr>
          <xdr:cNvSpPr/>
        </xdr:nvSpPr>
        <xdr:spPr>
          <a:xfrm rot="3874191">
            <a:off x="8229331" y="10969973"/>
            <a:ext cx="442979" cy="423388"/>
          </a:xfrm>
          <a:prstGeom prst="arc">
            <a:avLst>
              <a:gd name="adj1" fmla="val 15011426"/>
              <a:gd name="adj2" fmla="val 672396"/>
            </a:avLst>
          </a:prstGeom>
          <a:ln w="19050">
            <a:solidFill>
              <a:schemeClr val="accent2">
                <a:lumMod val="60000"/>
                <a:lumOff val="40000"/>
              </a:schemeClr>
            </a:solidFill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  <xdr:twoCellAnchor>
    <xdr:from>
      <xdr:col>4</xdr:col>
      <xdr:colOff>7363</xdr:colOff>
      <xdr:row>33</xdr:row>
      <xdr:rowOff>120650</xdr:rowOff>
    </xdr:from>
    <xdr:to>
      <xdr:col>7</xdr:col>
      <xdr:colOff>554993</xdr:colOff>
      <xdr:row>44</xdr:row>
      <xdr:rowOff>66675</xdr:rowOff>
    </xdr:to>
    <xdr:grpSp>
      <xdr:nvGrpSpPr>
        <xdr:cNvPr id="199" name="Группа 198">
          <a:extLst>
            <a:ext uri="{FF2B5EF4-FFF2-40B4-BE49-F238E27FC236}">
              <a16:creationId xmlns:a16="http://schemas.microsoft.com/office/drawing/2014/main" id="{786F7A4A-8EBD-4004-A856-9775A628066E}"/>
            </a:ext>
          </a:extLst>
        </xdr:cNvPr>
        <xdr:cNvGrpSpPr/>
      </xdr:nvGrpSpPr>
      <xdr:grpSpPr>
        <a:xfrm>
          <a:off x="8151238" y="6978650"/>
          <a:ext cx="3347980" cy="2041525"/>
          <a:chOff x="8132212" y="6902449"/>
          <a:chExt cx="2597134" cy="2041525"/>
        </a:xfrm>
      </xdr:grpSpPr>
      <xdr:pic>
        <xdr:nvPicPr>
          <xdr:cNvPr id="200" name="Рисунок строки состояния">
            <a:extLst>
              <a:ext uri="{FF2B5EF4-FFF2-40B4-BE49-F238E27FC236}">
                <a16:creationId xmlns:a16="http://schemas.microsoft.com/office/drawing/2014/main" id="{26CBE60B-8C6B-4B6C-A49E-B12121A259CA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6775" y="7737124"/>
            <a:ext cx="818285" cy="188153"/>
          </a:xfrm>
          <a:prstGeom prst="rect">
            <a:avLst/>
          </a:prstGeom>
        </xdr:spPr>
      </xdr:pic>
      <xdr:grpSp>
        <xdr:nvGrpSpPr>
          <xdr:cNvPr id="201" name="ПОПРОБУЙТЕ САМИ!" descr="ПОПРОБУЙТЕ САМИ!&#10;Выделите эти ячейки. Затем в правом нижнем углу окна Excel найдите следующее:&#10;СУММА: 170&#10;Это еще один способ быстро найти итоги.&#10;">
            <a:extLst>
              <a:ext uri="{FF2B5EF4-FFF2-40B4-BE49-F238E27FC236}">
                <a16:creationId xmlns:a16="http://schemas.microsoft.com/office/drawing/2014/main" id="{185E3144-984A-4865-9CA1-5E50300588AC}"/>
              </a:ext>
            </a:extLst>
          </xdr:cNvPr>
          <xdr:cNvGrpSpPr/>
        </xdr:nvGrpSpPr>
        <xdr:grpSpPr>
          <a:xfrm>
            <a:off x="8132212" y="6902449"/>
            <a:ext cx="2597134" cy="2041525"/>
            <a:chOff x="7539454" y="7993902"/>
            <a:chExt cx="2614299" cy="2041525"/>
          </a:xfrm>
        </xdr:grpSpPr>
        <xdr:grpSp>
          <xdr:nvGrpSpPr>
            <xdr:cNvPr id="202" name="Строки с квадратной скобкой">
              <a:extLst>
                <a:ext uri="{FF2B5EF4-FFF2-40B4-BE49-F238E27FC236}">
                  <a16:creationId xmlns:a16="http://schemas.microsoft.com/office/drawing/2014/main" id="{39B8838E-B75E-4D56-BA4D-0128784A2A5B}"/>
                </a:ext>
              </a:extLst>
            </xdr:cNvPr>
            <xdr:cNvGrpSpPr/>
          </xdr:nvGrpSpPr>
          <xdr:grpSpPr>
            <a:xfrm rot="599914">
              <a:off x="7539454" y="8145377"/>
              <a:ext cx="293814" cy="698211"/>
              <a:chOff x="9871108" y="1184220"/>
              <a:chExt cx="273326" cy="789155"/>
            </a:xfrm>
          </xdr:grpSpPr>
          <xdr:sp macro="" textlink="">
            <xdr:nvSpPr>
              <xdr:cNvPr id="205" name="Другая строка с квадратной скобкой" descr="Строка с квадратной скобкой">
                <a:extLst>
                  <a:ext uri="{FF2B5EF4-FFF2-40B4-BE49-F238E27FC236}">
                    <a16:creationId xmlns:a16="http://schemas.microsoft.com/office/drawing/2014/main" id="{72B2B640-A2B0-4922-83C7-1C432E167FD7}"/>
                  </a:ext>
                </a:extLst>
              </xdr:cNvPr>
              <xdr:cNvSpPr/>
            </xdr:nvSpPr>
            <xdr:spPr>
              <a:xfrm>
                <a:off x="9871108" y="1184220"/>
                <a:ext cx="273326" cy="262769"/>
              </a:xfrm>
              <a:custGeom>
                <a:avLst/>
                <a:gdLst>
                  <a:gd name="connsiteX0" fmla="*/ 0 w 273326"/>
                  <a:gd name="connsiteY0" fmla="*/ 193 h 217696"/>
                  <a:gd name="connsiteX1" fmla="*/ 157369 w 273326"/>
                  <a:gd name="connsiteY1" fmla="*/ 33323 h 217696"/>
                  <a:gd name="connsiteX2" fmla="*/ 165652 w 273326"/>
                  <a:gd name="connsiteY2" fmla="*/ 207258 h 217696"/>
                  <a:gd name="connsiteX3" fmla="*/ 273326 w 273326"/>
                  <a:gd name="connsiteY3" fmla="*/ 198976 h 217696"/>
                  <a:gd name="connsiteX4" fmla="*/ 273326 w 273326"/>
                  <a:gd name="connsiteY4" fmla="*/ 198976 h 21769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273326" h="217696">
                    <a:moveTo>
                      <a:pt x="0" y="193"/>
                    </a:moveTo>
                    <a:cubicBezTo>
                      <a:pt x="64880" y="-498"/>
                      <a:pt x="129760" y="-1188"/>
                      <a:pt x="157369" y="33323"/>
                    </a:cubicBezTo>
                    <a:cubicBezTo>
                      <a:pt x="184978" y="67834"/>
                      <a:pt x="146326" y="179649"/>
                      <a:pt x="165652" y="207258"/>
                    </a:cubicBezTo>
                    <a:cubicBezTo>
                      <a:pt x="184978" y="234867"/>
                      <a:pt x="273326" y="198976"/>
                      <a:pt x="273326" y="198976"/>
                    </a:cubicBezTo>
                    <a:lnTo>
                      <a:pt x="273326" y="198976"/>
                    </a:lnTo>
                  </a:path>
                </a:pathLst>
              </a:custGeom>
              <a:noFill/>
              <a:ln w="19050">
                <a:solidFill>
                  <a:schemeClr val="accent2">
                    <a:lumMod val="60000"/>
                    <a:lumOff val="40000"/>
                  </a:schemeClr>
                </a:solidFill>
                <a:tailEnd type="none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 rtl="0"/>
                <a:endParaRPr lang="en-US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06" name="Строка с квадратной скобкой" descr="Строка с квадратной скобкой&#10;">
                <a:extLst>
                  <a:ext uri="{FF2B5EF4-FFF2-40B4-BE49-F238E27FC236}">
                    <a16:creationId xmlns:a16="http://schemas.microsoft.com/office/drawing/2014/main" id="{86293DF6-F5A1-4474-9B8D-813EECCF9D18}"/>
                  </a:ext>
                </a:extLst>
              </xdr:cNvPr>
              <xdr:cNvSpPr/>
            </xdr:nvSpPr>
            <xdr:spPr>
              <a:xfrm>
                <a:off x="9983011" y="1430777"/>
                <a:ext cx="160895" cy="542598"/>
              </a:xfrm>
              <a:custGeom>
                <a:avLst/>
                <a:gdLst>
                  <a:gd name="connsiteX0" fmla="*/ 0 w 231913"/>
                  <a:gd name="connsiteY0" fmla="*/ 579782 h 579782"/>
                  <a:gd name="connsiteX1" fmla="*/ 173935 w 231913"/>
                  <a:gd name="connsiteY1" fmla="*/ 496956 h 579782"/>
                  <a:gd name="connsiteX2" fmla="*/ 107674 w 231913"/>
                  <a:gd name="connsiteY2" fmla="*/ 265043 h 579782"/>
                  <a:gd name="connsiteX3" fmla="*/ 115956 w 231913"/>
                  <a:gd name="connsiteY3" fmla="*/ 57978 h 579782"/>
                  <a:gd name="connsiteX4" fmla="*/ 231913 w 231913"/>
                  <a:gd name="connsiteY4" fmla="*/ 0 h 57978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231913" h="579782">
                    <a:moveTo>
                      <a:pt x="0" y="579782"/>
                    </a:moveTo>
                    <a:cubicBezTo>
                      <a:pt x="77994" y="564597"/>
                      <a:pt x="155989" y="549413"/>
                      <a:pt x="173935" y="496956"/>
                    </a:cubicBezTo>
                    <a:cubicBezTo>
                      <a:pt x="191881" y="444499"/>
                      <a:pt x="117337" y="338206"/>
                      <a:pt x="107674" y="265043"/>
                    </a:cubicBezTo>
                    <a:cubicBezTo>
                      <a:pt x="98011" y="191880"/>
                      <a:pt x="95250" y="102152"/>
                      <a:pt x="115956" y="57978"/>
                    </a:cubicBezTo>
                    <a:cubicBezTo>
                      <a:pt x="136663" y="13804"/>
                      <a:pt x="184288" y="6902"/>
                      <a:pt x="231913" y="0"/>
                    </a:cubicBezTo>
                  </a:path>
                </a:pathLst>
              </a:custGeom>
              <a:noFill/>
              <a:ln w="19050">
                <a:solidFill>
                  <a:schemeClr val="accent2">
                    <a:lumMod val="60000"/>
                    <a:lumOff val="40000"/>
                  </a:schemeClr>
                </a:solidFill>
                <a:tailEnd type="none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 rtl="0"/>
                <a:endParaRPr lang="en-US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pic>
          <xdr:nvPicPr>
            <xdr:cNvPr id="203" name="Звезды" descr="Звезды">
              <a:extLst>
                <a:ext uri="{FF2B5EF4-FFF2-40B4-BE49-F238E27FC236}">
                  <a16:creationId xmlns:a16="http://schemas.microsoft.com/office/drawing/2014/main" id="{85803565-64C2-4B68-868B-9D7CA538F6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7830674" y="8038700"/>
              <a:ext cx="320464" cy="337815"/>
            </a:xfrm>
            <a:prstGeom prst="rect">
              <a:avLst/>
            </a:prstGeom>
          </xdr:spPr>
        </xdr:pic>
        <xdr:sp macro="" textlink="">
          <xdr:nvSpPr>
            <xdr:cNvPr id="204" name="Инструкции" descr="ПОПРОБУЙТЕ САМИ!&#10;Выделите эти ячейки. Затем в правом нижнем углу окна Excel найдите надпись «Сумма: 170».&#10;&#10;Эта нижняя область называется строкой состояния. В ней можно быстро просмотреть итоговое значение и другие сведения о выделенной ячейке или диапазоне. &#10;">
              <a:extLst>
                <a:ext uri="{FF2B5EF4-FFF2-40B4-BE49-F238E27FC236}">
                  <a16:creationId xmlns:a16="http://schemas.microsoft.com/office/drawing/2014/main" id="{8143D8DB-BD14-4B1D-99E1-49C9F0560BD1}"/>
                </a:ext>
              </a:extLst>
            </xdr:cNvPr>
            <xdr:cNvSpPr txBox="1"/>
          </xdr:nvSpPr>
          <xdr:spPr>
            <a:xfrm>
              <a:off x="8132578" y="7993902"/>
              <a:ext cx="2021175" cy="20415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rtl="0">
                <a:defRPr/>
              </a:pPr>
              <a:r>
                <a:rPr lang="ru" sz="1200" b="1" kern="0">
                  <a:solidFill>
                    <a:srgbClr val="ED7D31">
                      <a:lumMod val="60000"/>
                      <a:lumOff val="40000"/>
                    </a:srgbClr>
                  </a:solidFill>
                  <a:latin typeface="+mj-lt"/>
                  <a:ea typeface="Segoe UI" pitchFamily="34" charset="0"/>
                  <a:cs typeface="Segoe UI Light" panose="020B0502040204020203" pitchFamily="34" charset="0"/>
                </a:rPr>
                <a:t>ПОПРОБУЙТЕ САМИ!</a:t>
              </a:r>
            </a:p>
            <a:p>
              <a:pPr lvl="0" rtl="0">
                <a:defRPr/>
              </a:pPr>
              <a:r>
                <a:rPr lang="ru" sz="1100" kern="0">
                  <a:solidFill>
                    <a:schemeClr val="bg2">
                      <a:lumMod val="25000"/>
                    </a:schemeClr>
                  </a:solidFill>
                  <a:latin typeface="+mn-lt"/>
                  <a:ea typeface="Segoe UI" pitchFamily="34" charset="0"/>
                  <a:cs typeface="Segoe UI Light" panose="020B0502040204020203" pitchFamily="34" charset="0"/>
                </a:rPr>
                <a:t>Выделите эти ячейки. Затем в правом нижнем углу</a:t>
              </a:r>
              <a:r>
                <a:rPr lang="ru" sz="1100" kern="0" baseline="0">
                  <a:solidFill>
                    <a:schemeClr val="bg2">
                      <a:lumMod val="25000"/>
                    </a:schemeClr>
                  </a:solidFill>
                  <a:latin typeface="+mn-lt"/>
                  <a:ea typeface="Segoe UI" pitchFamily="34" charset="0"/>
                  <a:cs typeface="Segoe UI Light" panose="020B0502040204020203" pitchFamily="34" charset="0"/>
                </a:rPr>
                <a:t> окна Excel найдите следующее:</a:t>
              </a:r>
            </a:p>
            <a:p>
              <a:pPr lvl="0" rtl="0">
                <a:defRPr/>
              </a:pPr>
              <a:br>
                <a:rPr lang="en-US" sz="1100" kern="0" baseline="0">
                  <a:solidFill>
                    <a:schemeClr val="bg2">
                      <a:lumMod val="25000"/>
                    </a:schemeClr>
                  </a:solidFill>
                  <a:latin typeface="+mn-lt"/>
                  <a:ea typeface="Segoe UI" pitchFamily="34" charset="0"/>
                  <a:cs typeface="Segoe UI Light" panose="020B0502040204020203" pitchFamily="34" charset="0"/>
                </a:rPr>
              </a:br>
              <a:endParaRPr lang="en-US" sz="1100" kern="0" baseline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endParaRPr>
            </a:p>
            <a:p>
              <a:pPr lvl="0" rtl="0">
                <a:defRPr/>
              </a:pPr>
              <a:r>
                <a:rPr lang="ru" sz="1100" kern="0" baseline="0">
                  <a:solidFill>
                    <a:schemeClr val="bg2">
                      <a:lumMod val="25000"/>
                    </a:schemeClr>
                  </a:solidFill>
                  <a:latin typeface="+mn-lt"/>
                  <a:ea typeface="Segoe UI" pitchFamily="34" charset="0"/>
                  <a:cs typeface="Segoe UI Light" panose="020B0502040204020203" pitchFamily="34" charset="0"/>
                </a:rPr>
                <a:t>Эта нижняя область называется строкой состояния. В ней можно быстро просмотреть итоговое значение и другие сведения о выделенной ячейке или диапазоне. </a:t>
              </a:r>
              <a:endParaRPr lang="en-US" sz="110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endParaRPr>
            </a:p>
          </xdr:txBody>
        </xdr:sp>
      </xdr:grpSp>
    </xdr:grpSp>
    <xdr:clientData/>
  </xdr:twoCellAnchor>
  <xdr:twoCellAnchor editAs="oneCell">
    <xdr:from>
      <xdr:col>5</xdr:col>
      <xdr:colOff>1358349</xdr:colOff>
      <xdr:row>15</xdr:row>
      <xdr:rowOff>28576</xdr:rowOff>
    </xdr:from>
    <xdr:to>
      <xdr:col>10</xdr:col>
      <xdr:colOff>196300</xdr:colOff>
      <xdr:row>23</xdr:row>
      <xdr:rowOff>95250</xdr:rowOff>
    </xdr:to>
    <xdr:grpSp>
      <xdr:nvGrpSpPr>
        <xdr:cNvPr id="207" name="Группа 206" descr="ДОПОЛНИТЕЛЬНО&#10;Попробуйте добавить сюда другую формулу СУММЕСЛИ, но укажите значения меньше 100. Результат должен составить 160.&#10;">
          <a:extLst>
            <a:ext uri="{FF2B5EF4-FFF2-40B4-BE49-F238E27FC236}">
              <a16:creationId xmlns:a16="http://schemas.microsoft.com/office/drawing/2014/main" id="{E7464239-05BB-404B-98D2-35A40E4685F6}"/>
            </a:ext>
          </a:extLst>
        </xdr:cNvPr>
        <xdr:cNvGrpSpPr/>
      </xdr:nvGrpSpPr>
      <xdr:grpSpPr>
        <a:xfrm>
          <a:off x="9654624" y="3457576"/>
          <a:ext cx="3257551" cy="1590674"/>
          <a:chOff x="9048750" y="3743325"/>
          <a:chExt cx="3407669" cy="1590674"/>
        </a:xfrm>
      </xdr:grpSpPr>
      <xdr:sp macro="" textlink="">
        <xdr:nvSpPr>
          <xdr:cNvPr id="208" name="Шаг" descr="ДОПОЛНИТЕЛЬНО&#10;Попробуйте использовать функцию СЧЁТ с помощью одного из этих способов. Она подсчитывает количество ячеек в диапазоне, содержащих числа.&#10;">
            <a:extLst>
              <a:ext uri="{FF2B5EF4-FFF2-40B4-BE49-F238E27FC236}">
                <a16:creationId xmlns:a16="http://schemas.microsoft.com/office/drawing/2014/main" id="{6928421E-45CA-4B1D-9312-B8F551C6A306}"/>
              </a:ext>
            </a:extLst>
          </xdr:cNvPr>
          <xdr:cNvSpPr txBox="1"/>
        </xdr:nvSpPr>
        <xdr:spPr>
          <a:xfrm>
            <a:off x="9648642" y="3905249"/>
            <a:ext cx="2807777" cy="1428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" panose="020B0502040204020203" pitchFamily="34" charset="0"/>
              </a:rPr>
              <a:t>ДОПОЛНИТЕЛЬНО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Попробуйте использовать функцию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СЧЁТ 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с помощью одного из этих способов. Функция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СЧЁТ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подсчитывает количество ячеек в диапазоне, содержащих числа.</a:t>
            </a:r>
          </a:p>
        </xdr:txBody>
      </xdr:sp>
      <xdr:pic>
        <xdr:nvPicPr>
          <xdr:cNvPr id="209" name="Лента «Дополнительно»" descr="Декоративная лента">
            <a:extLst>
              <a:ext uri="{FF2B5EF4-FFF2-40B4-BE49-F238E27FC236}">
                <a16:creationId xmlns:a16="http://schemas.microsoft.com/office/drawing/2014/main" id="{3A786831-0C9C-490F-B991-4BE5CEF7FC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9287099" y="3950551"/>
            <a:ext cx="474289" cy="439736"/>
          </a:xfrm>
          <a:prstGeom prst="rect">
            <a:avLst/>
          </a:prstGeom>
        </xdr:spPr>
      </xdr:pic>
      <xdr:sp macro="" textlink="">
        <xdr:nvSpPr>
          <xdr:cNvPr id="210" name="Стрелка «Дополнительно»" descr="Стрелка">
            <a:extLst>
              <a:ext uri="{FF2B5EF4-FFF2-40B4-BE49-F238E27FC236}">
                <a16:creationId xmlns:a16="http://schemas.microsoft.com/office/drawing/2014/main" id="{5529D458-6B38-4317-A9FD-A9793D972E5B}"/>
              </a:ext>
            </a:extLst>
          </xdr:cNvPr>
          <xdr:cNvSpPr/>
        </xdr:nvSpPr>
        <xdr:spPr>
          <a:xfrm rot="15682076" flipH="1">
            <a:off x="9021478" y="3770597"/>
            <a:ext cx="462029" cy="407486"/>
          </a:xfrm>
          <a:prstGeom prst="arc">
            <a:avLst>
              <a:gd name="adj1" fmla="val 11397275"/>
              <a:gd name="adj2" fmla="val 672396"/>
            </a:avLst>
          </a:prstGeom>
          <a:ln w="19050">
            <a:solidFill>
              <a:schemeClr val="accent2">
                <a:lumMod val="60000"/>
                <a:lumOff val="40000"/>
              </a:schemeClr>
            </a:solidFill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  <xdr:twoCellAnchor>
    <xdr:from>
      <xdr:col>0</xdr:col>
      <xdr:colOff>355809</xdr:colOff>
      <xdr:row>26</xdr:row>
      <xdr:rowOff>122990</xdr:rowOff>
    </xdr:from>
    <xdr:to>
      <xdr:col>1</xdr:col>
      <xdr:colOff>5241372</xdr:colOff>
      <xdr:row>71</xdr:row>
      <xdr:rowOff>118490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F60B4319-44A9-469F-A62C-1D9E3BD387BB}"/>
            </a:ext>
          </a:extLst>
        </xdr:cNvPr>
        <xdr:cNvGrpSpPr/>
      </xdr:nvGrpSpPr>
      <xdr:grpSpPr>
        <a:xfrm>
          <a:off x="355809" y="5647490"/>
          <a:ext cx="5733288" cy="8568000"/>
          <a:chOff x="355809" y="4791079"/>
          <a:chExt cx="5733288" cy="8568248"/>
        </a:xfrm>
      </xdr:grpSpPr>
      <xdr:sp macro="" textlink="">
        <xdr:nvSpPr>
          <xdr:cNvPr id="227" name="Прямоугольник 226" descr="Фон">
            <a:extLst>
              <a:ext uri="{FF2B5EF4-FFF2-40B4-BE49-F238E27FC236}">
                <a16:creationId xmlns:a16="http://schemas.microsoft.com/office/drawing/2014/main" id="{FE05A65F-6F64-4D5F-8F2C-C74D8B5B4B8A}"/>
              </a:ext>
            </a:extLst>
          </xdr:cNvPr>
          <xdr:cNvSpPr/>
        </xdr:nvSpPr>
        <xdr:spPr>
          <a:xfrm>
            <a:off x="355809" y="4791079"/>
            <a:ext cx="5733288" cy="8568248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/>
          </a:p>
        </xdr:txBody>
      </xdr:sp>
      <xdr:cxnSp macro="">
        <xdr:nvCxnSpPr>
          <xdr:cNvPr id="228" name="Прямая соединительная линия 227" descr="Декоративная линия">
            <a:extLst>
              <a:ext uri="{FF2B5EF4-FFF2-40B4-BE49-F238E27FC236}">
                <a16:creationId xmlns:a16="http://schemas.microsoft.com/office/drawing/2014/main" id="{E01E9DE0-78BF-4EAC-AF4D-2F1BE5EF054F}"/>
              </a:ext>
            </a:extLst>
          </xdr:cNvPr>
          <xdr:cNvCxnSpPr>
            <a:cxnSpLocks/>
          </xdr:cNvCxnSpPr>
        </xdr:nvCxnSpPr>
        <xdr:spPr>
          <a:xfrm>
            <a:off x="549298" y="5465828"/>
            <a:ext cx="5251045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9" name="Прямая соединительная линия 228" descr="Декоративная линия">
            <a:extLst>
              <a:ext uri="{FF2B5EF4-FFF2-40B4-BE49-F238E27FC236}">
                <a16:creationId xmlns:a16="http://schemas.microsoft.com/office/drawing/2014/main" id="{178E934D-C0C4-4CD9-B5EC-2F0A9FC59848}"/>
              </a:ext>
            </a:extLst>
          </xdr:cNvPr>
          <xdr:cNvCxnSpPr>
            <a:cxnSpLocks/>
          </xdr:cNvCxnSpPr>
        </xdr:nvCxnSpPr>
        <xdr:spPr>
          <a:xfrm>
            <a:off x="549298" y="13141080"/>
            <a:ext cx="5251045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0" name="Шаг" descr="Еще немного о функциях&#10;">
            <a:extLst>
              <a:ext uri="{FF2B5EF4-FFF2-40B4-BE49-F238E27FC236}">
                <a16:creationId xmlns:a16="http://schemas.microsoft.com/office/drawing/2014/main" id="{07DB6895-0278-4CEA-ABE6-CD6248F44EB5}"/>
              </a:ext>
            </a:extLst>
          </xdr:cNvPr>
          <xdr:cNvSpPr txBox="1"/>
        </xdr:nvSpPr>
        <xdr:spPr>
          <a:xfrm>
            <a:off x="549298" y="4916672"/>
            <a:ext cx="4908527" cy="5274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Еще немного о функциях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231" name="Шаг" descr="Откройте вкладку «Формулы» и просмотрите библиотеку функций. В ней функции упорядочены по категориям, например «Текстовые», «Дата и время» и т. д. Если нажать кнопку «Вставить функцию», можно будет найти функцию по имени. После этого запустится мастер функций, который поможет вам создать формулу. &#10;&#10;Если нажать = и начать вводить имя функции, активируется средство Intellisense, которое перечисляет все функции, названия которых начинаются с вводимых букв. Когда вы найдете нужный вариант, нажмите клавишу TAB, и Excel автоматически завершит имя функции и введет открывающую круглую скобку. Кроме того, будут показаны обязательные и необязательные аргументы. &#10;&#10;Рассмотрим структуру нескольких функций. Функция СУММ имеет следующий синтаксис:&#10;&#10;=СУММ(D38:D41;H:H), где СУММ — это имя функции, а D38:D41 — первый аргумент. Он почти всегда является обязательным. H:H — это дополнительный аргумент, отделенный точкой с запятой.&#10;&#10;">
            <a:extLst>
              <a:ext uri="{FF2B5EF4-FFF2-40B4-BE49-F238E27FC236}">
                <a16:creationId xmlns:a16="http://schemas.microsoft.com/office/drawing/2014/main" id="{17A99C0A-6405-4FD6-AD00-AD6255FB6C83}"/>
              </a:ext>
            </a:extLst>
          </xdr:cNvPr>
          <xdr:cNvSpPr txBox="1"/>
        </xdr:nvSpPr>
        <xdr:spPr>
          <a:xfrm>
            <a:off x="564213" y="5559755"/>
            <a:ext cx="5416016" cy="3122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Откройте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вкладку </a:t>
            </a:r>
            <a:r>
              <a:rPr lang="ru" sz="1100" b="1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Формулы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и просмотрите </a:t>
            </a:r>
            <a:r>
              <a:rPr lang="ru" sz="1100" b="1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библиотеку функций</a:t>
            </a:r>
            <a:r>
              <a:rPr lang="ru" sz="1100" b="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</a:t>
            </a:r>
            <a:r>
              <a:rPr lang="ru" sz="1100" b="1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 ней функции упорядочены по категориям, например </a:t>
            </a:r>
            <a:r>
              <a:rPr lang="ru" sz="1100" b="1" kern="1200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Текстовые</a:t>
            </a:r>
            <a:r>
              <a:rPr lang="ru" sz="1100" b="0" kern="1200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, </a:t>
            </a:r>
            <a:r>
              <a:rPr lang="ru" sz="1100" b="1" kern="1200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Дата и время</a:t>
            </a:r>
            <a:r>
              <a:rPr lang="ru" sz="1100" kern="1200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 и т. д.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Если нажать кнопку</a:t>
            </a:r>
            <a:r>
              <a:rPr lang="ru" sz="1100" b="1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Вставить функцию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, можно будет найти функцию по имени. После этого запустится мастер функций, который поможет вам создать формулу. </a:t>
            </a:r>
          </a:p>
          <a:p>
            <a:pPr lvl="0" rtl="0">
              <a:defRPr/>
            </a:pPr>
            <a:endParaRPr lang="en-US" sz="1100" kern="0" baseline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  <a:p>
            <a:pPr lvl="0" rtl="0">
              <a:defRPr/>
            </a:pP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Если нажать </a:t>
            </a:r>
            <a:r>
              <a:rPr lang="ru" sz="1100" b="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и начать вводить имя функции,</a:t>
            </a:r>
            <a:r>
              <a:rPr lang="ru" sz="1100" b="1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активируется средство </a:t>
            </a:r>
            <a:r>
              <a:rPr lang="ru" sz="1100" b="1" kern="1200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Intellisense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, которое перечисляет все функции, названия которых начинаются с вводимых букв. Когда вы найдете нужный вариант, нажмите клавишу TAB, и Excel автоматически завершит имя функции и введет открывающую круглую скобку. Кроме того, будут показаны обязательные и необязательные аргументы. </a:t>
            </a:r>
          </a:p>
          <a:p>
            <a:pPr lvl="0" rtl="0">
              <a:defRPr/>
            </a:pPr>
            <a:endParaRPr lang="en-US" sz="1100" kern="0" baseline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100" kern="0" baseline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100" kern="0" baseline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  <a:p>
            <a:pPr lvl="0" rtl="0">
              <a:defRPr/>
            </a:pPr>
            <a:endParaRPr lang="en-US" sz="1100" kern="0" baseline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  <a:p>
            <a:pPr lvl="0" rtl="0">
              <a:defRPr/>
            </a:pP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Рассмотрим структуру нескольких функций. Функция </a:t>
            </a:r>
            <a:r>
              <a:rPr lang="ru" sz="1100" b="1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СУММ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имеет следующий синтаксис:</a:t>
            </a:r>
            <a:endParaRPr lang="en-US" sz="1100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</xdr:col>
      <xdr:colOff>1139691</xdr:colOff>
      <xdr:row>41</xdr:row>
      <xdr:rowOff>38995</xdr:rowOff>
    </xdr:from>
    <xdr:to>
      <xdr:col>1</xdr:col>
      <xdr:colOff>3017625</xdr:colOff>
      <xdr:row>44</xdr:row>
      <xdr:rowOff>57971</xdr:rowOff>
    </xdr:to>
    <xdr:pic>
      <xdr:nvPicPr>
        <xdr:cNvPr id="213" name="Рисунок 212">
          <a:extLst>
            <a:ext uri="{FF2B5EF4-FFF2-40B4-BE49-F238E27FC236}">
              <a16:creationId xmlns:a16="http://schemas.microsoft.com/office/drawing/2014/main" id="{CF700F99-98FD-4493-86F6-BB31915BF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4517" y="8420995"/>
          <a:ext cx="1877934" cy="590476"/>
        </a:xfrm>
        <a:prstGeom prst="rect">
          <a:avLst/>
        </a:prstGeom>
      </xdr:spPr>
    </xdr:pic>
    <xdr:clientData/>
  </xdr:twoCellAnchor>
  <xdr:twoCellAnchor>
    <xdr:from>
      <xdr:col>1</xdr:col>
      <xdr:colOff>557898</xdr:colOff>
      <xdr:row>47</xdr:row>
      <xdr:rowOff>130154</xdr:rowOff>
    </xdr:from>
    <xdr:to>
      <xdr:col>1</xdr:col>
      <xdr:colOff>3903532</xdr:colOff>
      <xdr:row>58</xdr:row>
      <xdr:rowOff>61843</xdr:rowOff>
    </xdr:to>
    <xdr:grpSp>
      <xdr:nvGrpSpPr>
        <xdr:cNvPr id="214" name="Группа 213">
          <a:extLst>
            <a:ext uri="{FF2B5EF4-FFF2-40B4-BE49-F238E27FC236}">
              <a16:creationId xmlns:a16="http://schemas.microsoft.com/office/drawing/2014/main" id="{FB827C73-8C3F-460A-9D51-BF988EA48D11}"/>
            </a:ext>
          </a:extLst>
        </xdr:cNvPr>
        <xdr:cNvGrpSpPr/>
      </xdr:nvGrpSpPr>
      <xdr:grpSpPr>
        <a:xfrm>
          <a:off x="1405623" y="9655154"/>
          <a:ext cx="3345634" cy="2027189"/>
          <a:chOff x="4319575" y="4314824"/>
          <a:chExt cx="3323846" cy="2027160"/>
        </a:xfrm>
      </xdr:grpSpPr>
      <xdr:sp macro="" textlink="">
        <xdr:nvSpPr>
          <xdr:cNvPr id="219" name="текст_Формула" descr="=СУММ(D38:D41) ">
            <a:extLst>
              <a:ext uri="{FF2B5EF4-FFF2-40B4-BE49-F238E27FC236}">
                <a16:creationId xmlns:a16="http://schemas.microsoft.com/office/drawing/2014/main" id="{7E312E8D-370B-4CB1-9C30-9E10D575E721}"/>
              </a:ext>
            </a:extLst>
          </xdr:cNvPr>
          <xdr:cNvSpPr txBox="1"/>
        </xdr:nvSpPr>
        <xdr:spPr>
          <a:xfrm>
            <a:off x="4386251" y="5810762"/>
            <a:ext cx="3132823" cy="531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Ins="0" bIns="0" rtlCol="0" anchor="t"/>
          <a:lstStyle/>
          <a:p>
            <a:pPr marL="0" marR="0" rtl="0">
              <a:spcBef>
                <a:spcPts val="0"/>
              </a:spcBef>
              <a:spcAft>
                <a:spcPts val="0"/>
              </a:spcAft>
            </a:pPr>
            <a:r>
              <a:rPr lang="ru" sz="2000">
                <a:solidFill>
                  <a:srgbClr val="000000"/>
                </a:solidFill>
                <a:effectLst/>
                <a:latin typeface="Courier New" panose="02070309020205020404" pitchFamily="49" charset="0"/>
                <a:ea typeface="Times New Roman" panose="02020603050405020304" pitchFamily="18" charset="0"/>
              </a:rPr>
              <a:t>=СУММ(D38:D41;H:H)</a:t>
            </a:r>
            <a:endParaRPr lang="en-US" sz="20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grpSp>
        <xdr:nvGrpSpPr>
          <xdr:cNvPr id="220" name="Группа 219">
            <a:extLst>
              <a:ext uri="{FF2B5EF4-FFF2-40B4-BE49-F238E27FC236}">
                <a16:creationId xmlns:a16="http://schemas.microsoft.com/office/drawing/2014/main" id="{EA425C25-3538-467E-9C7D-913A4CCFBE52}"/>
              </a:ext>
            </a:extLst>
          </xdr:cNvPr>
          <xdr:cNvGrpSpPr/>
        </xdr:nvGrpSpPr>
        <xdr:grpSpPr>
          <a:xfrm>
            <a:off x="4319575" y="4314824"/>
            <a:ext cx="3323846" cy="1576101"/>
            <a:chOff x="4319575" y="4314824"/>
            <a:chExt cx="3323846" cy="1576101"/>
          </a:xfrm>
        </xdr:grpSpPr>
        <xdr:sp macro="" textlink="">
          <xdr:nvSpPr>
            <xdr:cNvPr id="221" name="ФормулаВерхняяСкобка">
              <a:extLst>
                <a:ext uri="{FF2B5EF4-FFF2-40B4-BE49-F238E27FC236}">
                  <a16:creationId xmlns:a16="http://schemas.microsoft.com/office/drawing/2014/main" id="{70C6032A-6C2C-406B-8451-B3D14C49A6BC}"/>
                </a:ext>
              </a:extLst>
            </xdr:cNvPr>
            <xdr:cNvSpPr/>
          </xdr:nvSpPr>
          <xdr:spPr>
            <a:xfrm rot="5400000">
              <a:off x="6503538" y="5398399"/>
              <a:ext cx="499277" cy="485776"/>
            </a:xfrm>
            <a:prstGeom prst="leftBrace">
              <a:avLst>
                <a:gd name="adj1" fmla="val 8333"/>
                <a:gd name="adj2" fmla="val 2647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222" name="ФормулаВерхняяСкобка">
              <a:extLst>
                <a:ext uri="{FF2B5EF4-FFF2-40B4-BE49-F238E27FC236}">
                  <a16:creationId xmlns:a16="http://schemas.microsoft.com/office/drawing/2014/main" id="{56068F5B-8EA0-44DA-8571-8698F744FFA6}"/>
                </a:ext>
              </a:extLst>
            </xdr:cNvPr>
            <xdr:cNvSpPr/>
          </xdr:nvSpPr>
          <xdr:spPr>
            <a:xfrm rot="5400000">
              <a:off x="5569492" y="5103140"/>
              <a:ext cx="499277" cy="1057275"/>
            </a:xfrm>
            <a:prstGeom prst="leftBrace">
              <a:avLst>
                <a:gd name="adj1" fmla="val 8333"/>
                <a:gd name="adj2" fmla="val 23874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223" name="ФормулаВерхняяСкобка">
              <a:extLst>
                <a:ext uri="{FF2B5EF4-FFF2-40B4-BE49-F238E27FC236}">
                  <a16:creationId xmlns:a16="http://schemas.microsoft.com/office/drawing/2014/main" id="{B06AACB5-79F8-4B5A-828E-3C81B8A6126C}"/>
                </a:ext>
              </a:extLst>
            </xdr:cNvPr>
            <xdr:cNvSpPr/>
          </xdr:nvSpPr>
          <xdr:spPr>
            <a:xfrm rot="5400000">
              <a:off x="4595765" y="5318239"/>
              <a:ext cx="499277" cy="608014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224" name="текст_ФормулаВерхняяВыноска" descr="Имя функции&#10;">
              <a:extLst>
                <a:ext uri="{FF2B5EF4-FFF2-40B4-BE49-F238E27FC236}">
                  <a16:creationId xmlns:a16="http://schemas.microsoft.com/office/drawing/2014/main" id="{A51B4DC7-A90C-4214-A9E2-B085B4A03BC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319575" y="4314824"/>
              <a:ext cx="1013603" cy="1163326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t" anchorCtr="0">
              <a:noAutofit/>
            </a:bodyPr>
            <a:lstStyle/>
            <a:p>
              <a:pPr marL="0" marR="0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Имя функции.</a:t>
              </a:r>
            </a:p>
          </xdr:txBody>
        </xdr:sp>
        <xdr:sp macro="" textlink="">
          <xdr:nvSpPr>
            <xdr:cNvPr id="225" name="текст_ФормулаВерхняяВыноска" descr="Первый аргумент. Он почти всегда является обязательным.&#10;&#10;">
              <a:extLst>
                <a:ext uri="{FF2B5EF4-FFF2-40B4-BE49-F238E27FC236}">
                  <a16:creationId xmlns:a16="http://schemas.microsoft.com/office/drawing/2014/main" id="{1AA6C65B-1638-43C3-9BBA-D39DAF05E74C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418535" y="4324349"/>
              <a:ext cx="1076543" cy="1163326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t" anchorCtr="0">
              <a:noAutofit/>
            </a:bodyPr>
            <a:lstStyle/>
            <a:p>
              <a:pPr marL="0" marR="0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Первый аргумент. Он почти всегда является обязательным.</a:t>
              </a:r>
            </a:p>
          </xdr:txBody>
        </xdr:sp>
        <xdr:sp macro="" textlink="">
          <xdr:nvSpPr>
            <xdr:cNvPr id="226" name="текст_ФормулаВерхняяВыноска" descr="Дополнительные аргументы, отделенные точкой с запятой (;).&#10;&#10;">
              <a:extLst>
                <a:ext uri="{FF2B5EF4-FFF2-40B4-BE49-F238E27FC236}">
                  <a16:creationId xmlns:a16="http://schemas.microsoft.com/office/drawing/2014/main" id="{2E5F66AD-98E4-4B2A-B2BA-C09105B1A21B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566878" y="4333874"/>
              <a:ext cx="1076543" cy="1163326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t" anchorCtr="0">
              <a:noAutofit/>
            </a:bodyPr>
            <a:lstStyle/>
            <a:p>
              <a:pPr marL="0" marR="0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Дополнительные аргументы, отделенные точкой с запятой (;).</a:t>
              </a:r>
            </a:p>
          </xdr:txBody>
        </xdr:sp>
      </xdr:grpSp>
    </xdr:grpSp>
    <xdr:clientData/>
  </xdr:twoCellAnchor>
  <xdr:twoCellAnchor>
    <xdr:from>
      <xdr:col>0</xdr:col>
      <xdr:colOff>547558</xdr:colOff>
      <xdr:row>57</xdr:row>
      <xdr:rowOff>172581</xdr:rowOff>
    </xdr:from>
    <xdr:to>
      <xdr:col>1</xdr:col>
      <xdr:colOff>5048250</xdr:colOff>
      <xdr:row>62</xdr:row>
      <xdr:rowOff>67082</xdr:rowOff>
    </xdr:to>
    <xdr:sp macro="" textlink="">
      <xdr:nvSpPr>
        <xdr:cNvPr id="215" name="текст_Шаг" descr="Функция СУММ возвращает сумму всех значений в ячейках с D38 по D41 и во всем столбце H. Теперь посмотрим на функцию, которая не требует никаких аргументов.&#10;">
          <a:extLst>
            <a:ext uri="{FF2B5EF4-FFF2-40B4-BE49-F238E27FC236}">
              <a16:creationId xmlns:a16="http://schemas.microsoft.com/office/drawing/2014/main" id="{22A1C554-76ED-4E49-A496-849BD442214B}"/>
            </a:ext>
          </a:extLst>
        </xdr:cNvPr>
        <xdr:cNvSpPr txBox="1"/>
      </xdr:nvSpPr>
      <xdr:spPr>
        <a:xfrm>
          <a:off x="547558" y="11602581"/>
          <a:ext cx="5345518" cy="847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Функция </a:t>
          </a:r>
          <a:r>
            <a:rPr lang="ru" sz="1100" b="1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СУММ</a:t>
          </a: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 возвращает сумму всех значений в ячейках с D38 по D41 и во всем столбце H.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Теперь посмотрим на функцию, которая не требует никаких аргументов.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612603</xdr:colOff>
      <xdr:row>62</xdr:row>
      <xdr:rowOff>169415</xdr:rowOff>
    </xdr:from>
    <xdr:to>
      <xdr:col>1</xdr:col>
      <xdr:colOff>3584403</xdr:colOff>
      <xdr:row>70</xdr:row>
      <xdr:rowOff>179466</xdr:rowOff>
    </xdr:to>
    <xdr:grpSp>
      <xdr:nvGrpSpPr>
        <xdr:cNvPr id="3" name="Группа 2">
          <a:extLst>
            <a:ext uri="{FF2B5EF4-FFF2-40B4-BE49-F238E27FC236}">
              <a16:creationId xmlns:a16="http://schemas.microsoft.com/office/drawing/2014/main" id="{A1A853C7-B6EC-45D3-A4D6-9D928865ED9B}"/>
            </a:ext>
          </a:extLst>
        </xdr:cNvPr>
        <xdr:cNvGrpSpPr/>
      </xdr:nvGrpSpPr>
      <xdr:grpSpPr>
        <a:xfrm>
          <a:off x="1460328" y="12551915"/>
          <a:ext cx="2971800" cy="1534051"/>
          <a:chOff x="1736553" y="11125200"/>
          <a:chExt cx="2971800" cy="1533566"/>
        </a:xfrm>
      </xdr:grpSpPr>
      <xdr:sp macro="" textlink="">
        <xdr:nvSpPr>
          <xdr:cNvPr id="216" name="ФормулаВерхняяСкобка">
            <a:extLst>
              <a:ext uri="{FF2B5EF4-FFF2-40B4-BE49-F238E27FC236}">
                <a16:creationId xmlns:a16="http://schemas.microsoft.com/office/drawing/2014/main" id="{47A65F16-B2A6-46A3-B669-E6D2D5A6ECEB}"/>
              </a:ext>
            </a:extLst>
          </xdr:cNvPr>
          <xdr:cNvSpPr/>
        </xdr:nvSpPr>
        <xdr:spPr>
          <a:xfrm rot="5400000">
            <a:off x="3117513" y="11281507"/>
            <a:ext cx="499277" cy="1296000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217" name="текст_Формула" descr="=СЕГОДНЯ()">
            <a:extLst>
              <a:ext uri="{FF2B5EF4-FFF2-40B4-BE49-F238E27FC236}">
                <a16:creationId xmlns:a16="http://schemas.microsoft.com/office/drawing/2014/main" id="{22DC5E2D-9AE9-4EFE-B800-9356D8B70BA7}"/>
              </a:ext>
            </a:extLst>
          </xdr:cNvPr>
          <xdr:cNvSpPr txBox="1"/>
        </xdr:nvSpPr>
        <xdr:spPr>
          <a:xfrm>
            <a:off x="2560450" y="12127544"/>
            <a:ext cx="1821613" cy="531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Ins="0" bIns="0" rtlCol="0" anchor="t"/>
          <a:lstStyle/>
          <a:p>
            <a:pPr marL="0" marR="0" rtl="0">
              <a:spcBef>
                <a:spcPts val="0"/>
              </a:spcBef>
              <a:spcAft>
                <a:spcPts val="0"/>
              </a:spcAft>
            </a:pPr>
            <a:r>
              <a:rPr lang="ru" sz="2000">
                <a:solidFill>
                  <a:srgbClr val="000000"/>
                </a:solidFill>
                <a:effectLst/>
                <a:latin typeface="Courier New" panose="02070309020205020404" pitchFamily="49" charset="0"/>
                <a:ea typeface="Times New Roman" panose="02020603050405020304" pitchFamily="18" charset="0"/>
              </a:rPr>
              <a:t>=СЕГОДНЯ()</a:t>
            </a:r>
            <a:endParaRPr lang="en-US" sz="20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sp macro="" textlink="">
        <xdr:nvSpPr>
          <xdr:cNvPr id="218" name="текст_ФормулаВерхняяВыноска" descr="Функция СЕГОДНЯ возвращает текущую дату. Ее результат автоматически обновляется при пересчете книги Excel.&#10;&#10;">
            <a:extLst>
              <a:ext uri="{FF2B5EF4-FFF2-40B4-BE49-F238E27FC236}">
                <a16:creationId xmlns:a16="http://schemas.microsoft.com/office/drawing/2014/main" id="{52549E0D-FD3F-475B-B881-0D180B27FDC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36553" y="11125200"/>
            <a:ext cx="2971800" cy="61759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Функция </a:t>
            </a:r>
            <a:r>
              <a:rPr lang="ru" sz="1100" b="1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СЕГОДНЯ</a:t>
            </a: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 возвращает текущую дату. Ее результат автоматически</a:t>
            </a:r>
            <a:r>
              <a:rPr lang="ru" sz="1100" baseline="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 обновляется при пересчете книги Excel.</a:t>
            </a:r>
            <a:endParaRPr lang="en-U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342900</xdr:colOff>
      <xdr:row>0</xdr:row>
      <xdr:rowOff>352424</xdr:rowOff>
    </xdr:from>
    <xdr:to>
      <xdr:col>1</xdr:col>
      <xdr:colOff>5229225</xdr:colOff>
      <xdr:row>26</xdr:row>
      <xdr:rowOff>47924</xdr:rowOff>
    </xdr:to>
    <xdr:grpSp>
      <xdr:nvGrpSpPr>
        <xdr:cNvPr id="232" name="Группа 231">
          <a:extLst>
            <a:ext uri="{FF2B5EF4-FFF2-40B4-BE49-F238E27FC236}">
              <a16:creationId xmlns:a16="http://schemas.microsoft.com/office/drawing/2014/main" id="{7A4FA281-7222-4655-A76E-27AE33A3FF1C}"/>
            </a:ext>
          </a:extLst>
        </xdr:cNvPr>
        <xdr:cNvGrpSpPr/>
      </xdr:nvGrpSpPr>
      <xdr:grpSpPr>
        <a:xfrm>
          <a:off x="342900" y="352424"/>
          <a:ext cx="5734050" cy="5220000"/>
          <a:chOff x="323850" y="276224"/>
          <a:chExt cx="5734050" cy="5018771"/>
        </a:xfrm>
      </xdr:grpSpPr>
      <xdr:sp macro="" textlink="">
        <xdr:nvSpPr>
          <xdr:cNvPr id="233" name="текст_ФонКурса" descr="Фон">
            <a:extLst>
              <a:ext uri="{FF2B5EF4-FFF2-40B4-BE49-F238E27FC236}">
                <a16:creationId xmlns:a16="http://schemas.microsoft.com/office/drawing/2014/main" id="{2E503384-DBF5-4D47-BF12-EEAC0918D4AA}"/>
              </a:ext>
            </a:extLst>
          </xdr:cNvPr>
          <xdr:cNvSpPr/>
        </xdr:nvSpPr>
        <xdr:spPr>
          <a:xfrm>
            <a:off x="323850" y="276224"/>
            <a:ext cx="5734050" cy="5018771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220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234" name="текст_ЗаголовокКурса" descr="Общие сведения о функциях">
            <a:extLst>
              <a:ext uri="{FF2B5EF4-FFF2-40B4-BE49-F238E27FC236}">
                <a16:creationId xmlns:a16="http://schemas.microsoft.com/office/drawing/2014/main" id="{7D4667CC-B735-408F-A1E4-6FA13B1FB7FB}"/>
              </a:ext>
            </a:extLst>
          </xdr:cNvPr>
          <xdr:cNvSpPr txBox="1"/>
        </xdr:nvSpPr>
        <xdr:spPr>
          <a:xfrm>
            <a:off x="536578" y="371474"/>
            <a:ext cx="5251444" cy="4858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Общие сведения о функциях</a:t>
            </a:r>
          </a:p>
        </xdr:txBody>
      </xdr:sp>
      <xdr:cxnSp macro="">
        <xdr:nvCxnSpPr>
          <xdr:cNvPr id="235" name="текст_Курсстрока1" descr="Декоративная линия">
            <a:extLst>
              <a:ext uri="{FF2B5EF4-FFF2-40B4-BE49-F238E27FC236}">
                <a16:creationId xmlns:a16="http://schemas.microsoft.com/office/drawing/2014/main" id="{B2C34DDE-3E39-4FB3-B22B-EE9DE303EF82}"/>
              </a:ext>
            </a:extLst>
          </xdr:cNvPr>
          <xdr:cNvCxnSpPr>
            <a:cxnSpLocks/>
          </xdr:cNvCxnSpPr>
        </xdr:nvCxnSpPr>
        <xdr:spPr>
          <a:xfrm>
            <a:off x="536578" y="897187"/>
            <a:ext cx="52482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6" name="текст_Курсстрока2" descr="Декоративная линия">
            <a:extLst>
              <a:ext uri="{FF2B5EF4-FFF2-40B4-BE49-F238E27FC236}">
                <a16:creationId xmlns:a16="http://schemas.microsoft.com/office/drawing/2014/main" id="{EEEF91CB-D253-4B04-B06F-EF082C03A170}"/>
              </a:ext>
            </a:extLst>
          </xdr:cNvPr>
          <xdr:cNvCxnSpPr>
            <a:cxnSpLocks/>
          </xdr:cNvCxnSpPr>
        </xdr:nvCxnSpPr>
        <xdr:spPr>
          <a:xfrm>
            <a:off x="536578" y="4477021"/>
            <a:ext cx="52482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7" name="текст_КурсВведение" descr="Функции позволяют выполнять математические операции, подставлять значения, рассчитывать значения даты и времени и делать многое другое. Попробуем сложить значения с помощью функции СУММ несколькими способами.&#10;">
            <a:extLst>
              <a:ext uri="{FF2B5EF4-FFF2-40B4-BE49-F238E27FC236}">
                <a16:creationId xmlns:a16="http://schemas.microsoft.com/office/drawing/2014/main" id="{D14E5F97-98FC-4309-B1F6-64DC7B7C29DE}"/>
              </a:ext>
            </a:extLst>
          </xdr:cNvPr>
          <xdr:cNvSpPr txBox="1"/>
        </xdr:nvSpPr>
        <xdr:spPr>
          <a:xfrm>
            <a:off x="543088" y="976390"/>
            <a:ext cx="5251444" cy="7650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Функции позволяют выполнять математические операции, подставлять значения, рассчитывать значения даты и времени и делать многое другое. Попробуем сложить значения с помощью функции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СУММ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несколькими способами.</a:t>
            </a:r>
          </a:p>
        </xdr:txBody>
      </xdr:sp>
      <xdr:grpSp>
        <xdr:nvGrpSpPr>
          <xdr:cNvPr id="238" name="группа_Шаг">
            <a:extLst>
              <a:ext uri="{FF2B5EF4-FFF2-40B4-BE49-F238E27FC236}">
                <a16:creationId xmlns:a16="http://schemas.microsoft.com/office/drawing/2014/main" id="{B0D2ED24-6683-4531-B8F5-0F2F4933BA4A}"/>
              </a:ext>
            </a:extLst>
          </xdr:cNvPr>
          <xdr:cNvGrpSpPr/>
        </xdr:nvGrpSpPr>
        <xdr:grpSpPr>
          <a:xfrm>
            <a:off x="542925" y="1812302"/>
            <a:ext cx="5429249" cy="780850"/>
            <a:chOff x="609600" y="7984502"/>
            <a:chExt cx="5394025" cy="780850"/>
          </a:xfrm>
        </xdr:grpSpPr>
        <xdr:sp macro="" textlink="">
          <xdr:nvSpPr>
            <xdr:cNvPr id="247" name="текст_Шаг" descr="В столбце «Количество» для фруктов (ячейка D7) введите =СУММ(D3:D6). Вы также можете ввести =СУММ( и выбрать диапазон с помощью мыши, а затем нажать клавишу ВВОД. При этом будут просуммированы значения в ячейках D3, D4, D5 и D6. В результате должно получиться 170.&#10;&#10;&#10;&#10;">
              <a:extLst>
                <a:ext uri="{FF2B5EF4-FFF2-40B4-BE49-F238E27FC236}">
                  <a16:creationId xmlns:a16="http://schemas.microsoft.com/office/drawing/2014/main" id="{810A5AB8-1BE7-4AA1-A49C-BD6D215DAFA4}"/>
                </a:ext>
              </a:extLst>
            </xdr:cNvPr>
            <xdr:cNvSpPr txBox="1"/>
          </xdr:nvSpPr>
          <xdr:spPr>
            <a:xfrm>
              <a:off x="1017294" y="8007410"/>
              <a:ext cx="4986331" cy="7579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 столбце «Количество» для фруктов (ячейка D7) введите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=СУММ(D3:D6)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Вы также можете ввести =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СУММ(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и выбрать диапазон с помощью мыши, а затем нажать клавишу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ВВОД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При этом будут просуммированы значения в ячейках D3, D4, D5 и D6. В результате должно получиться 170.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248" name="фигура_Шаг" descr="1">
              <a:extLst>
                <a:ext uri="{FF2B5EF4-FFF2-40B4-BE49-F238E27FC236}">
                  <a16:creationId xmlns:a16="http://schemas.microsoft.com/office/drawing/2014/main" id="{F2FD6D3D-CB42-4E79-8228-3477BE73DC88}"/>
                </a:ext>
              </a:extLst>
            </xdr:cNvPr>
            <xdr:cNvSpPr/>
          </xdr:nvSpPr>
          <xdr:spPr>
            <a:xfrm>
              <a:off x="609600" y="7984502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1</a:t>
              </a:r>
            </a:p>
          </xdr:txBody>
        </xdr:sp>
      </xdr:grpSp>
      <xdr:grpSp>
        <xdr:nvGrpSpPr>
          <xdr:cNvPr id="239" name="группа_Шаг">
            <a:extLst>
              <a:ext uri="{FF2B5EF4-FFF2-40B4-BE49-F238E27FC236}">
                <a16:creationId xmlns:a16="http://schemas.microsoft.com/office/drawing/2014/main" id="{D760DDB7-6B91-4E00-B2BE-F1BD6817C42A}"/>
              </a:ext>
            </a:extLst>
          </xdr:cNvPr>
          <xdr:cNvGrpSpPr/>
        </xdr:nvGrpSpPr>
        <xdr:grpSpPr>
          <a:xfrm>
            <a:off x="542925" y="2628503"/>
            <a:ext cx="5220101" cy="1173481"/>
            <a:chOff x="609600" y="8262540"/>
            <a:chExt cx="5186234" cy="1173481"/>
          </a:xfrm>
        </xdr:grpSpPr>
        <xdr:sp macro="" textlink="">
          <xdr:nvSpPr>
            <xdr:cNvPr id="245" name="текст_Шаг" descr="Теперь давайте попробуем использовать автосуммирование. Выделите желтую ячейку в таблице «Мясо» (G7), а затем щелкните «Формулы» &gt; «Автосумма» и выберите операцию «Сумма». Excel автоматически введет формулу. Нажмите клавишу ВВОД, чтобы подтвердить ее. Автосуммирование поддерживает все часто используемые функции.&#10;&#10;">
              <a:extLst>
                <a:ext uri="{FF2B5EF4-FFF2-40B4-BE49-F238E27FC236}">
                  <a16:creationId xmlns:a16="http://schemas.microsoft.com/office/drawing/2014/main" id="{C6CA8983-E35C-4984-9B4D-732042B193D4}"/>
                </a:ext>
              </a:extLst>
            </xdr:cNvPr>
            <xdr:cNvSpPr txBox="1"/>
          </xdr:nvSpPr>
          <xdr:spPr>
            <a:xfrm>
              <a:off x="1017295" y="8304504"/>
              <a:ext cx="4778539" cy="11315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Теперь давайте попробуем использовать </a:t>
              </a:r>
              <a:r>
                <a:rPr lang="ru-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Автосумма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Выделите желтую ячейку в таблице «Мясо» (G7), а затем щелкните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Формулы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&gt;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Автосумма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и выберите операцию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Сумма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Excel автоматически введет формулу. Нажмите клавишу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ВВОД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 чтобы подтвердить ее. </a:t>
              </a:r>
              <a:r>
                <a:rPr lang="ru-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Автосумма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поддерживает все часто используемые функции.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246" name="фигура_Шаг" descr="2">
              <a:extLst>
                <a:ext uri="{FF2B5EF4-FFF2-40B4-BE49-F238E27FC236}">
                  <a16:creationId xmlns:a16="http://schemas.microsoft.com/office/drawing/2014/main" id="{09967B0C-29E8-4781-A6FA-F5CB00C8AEBC}"/>
                </a:ext>
              </a:extLst>
            </xdr:cNvPr>
            <xdr:cNvSpPr/>
          </xdr:nvSpPr>
          <xdr:spPr>
            <a:xfrm>
              <a:off x="609600" y="8262540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2</a:t>
              </a:r>
            </a:p>
          </xdr:txBody>
        </xdr:sp>
      </xdr:grpSp>
      <xdr:grpSp>
        <xdr:nvGrpSpPr>
          <xdr:cNvPr id="240" name="Группа 239">
            <a:extLst>
              <a:ext uri="{FF2B5EF4-FFF2-40B4-BE49-F238E27FC236}">
                <a16:creationId xmlns:a16="http://schemas.microsoft.com/office/drawing/2014/main" id="{DCC331A5-B81B-407D-A604-3A6691EE3721}"/>
              </a:ext>
            </a:extLst>
          </xdr:cNvPr>
          <xdr:cNvGrpSpPr/>
        </xdr:nvGrpSpPr>
        <xdr:grpSpPr>
          <a:xfrm>
            <a:off x="542925" y="3711825"/>
            <a:ext cx="5234994" cy="686721"/>
            <a:chOff x="561975" y="3521325"/>
            <a:chExt cx="5234994" cy="686721"/>
          </a:xfrm>
        </xdr:grpSpPr>
        <xdr:sp macro="" textlink="">
          <xdr:nvSpPr>
            <xdr:cNvPr id="241" name="3" descr="3">
              <a:extLst>
                <a:ext uri="{FF2B5EF4-FFF2-40B4-BE49-F238E27FC236}">
                  <a16:creationId xmlns:a16="http://schemas.microsoft.com/office/drawing/2014/main" id="{B6363DB9-6EAE-4572-B5B1-7CAA749E8425}"/>
                </a:ext>
              </a:extLst>
            </xdr:cNvPr>
            <xdr:cNvSpPr/>
          </xdr:nvSpPr>
          <xdr:spPr>
            <a:xfrm>
              <a:off x="561975" y="3521325"/>
              <a:ext cx="371587" cy="367758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3</a:t>
              </a:r>
            </a:p>
          </xdr:txBody>
        </xdr:sp>
        <xdr:sp macro="" textlink="">
          <xdr:nvSpPr>
            <xdr:cNvPr id="242" name="Шаг" descr="Также можно использовать сочетание клавиш. Выберите ячейку D15, нажмите ALT=, а затем ВВОД. При этом автоматически будет введена формула с функцией СУММ.&#10;">
              <a:extLst>
                <a:ext uri="{FF2B5EF4-FFF2-40B4-BE49-F238E27FC236}">
                  <a16:creationId xmlns:a16="http://schemas.microsoft.com/office/drawing/2014/main" id="{560D1E18-37A7-48F2-AA0C-0AF6088AF0AB}"/>
                </a:ext>
              </a:extLst>
            </xdr:cNvPr>
            <xdr:cNvSpPr txBox="1"/>
          </xdr:nvSpPr>
          <xdr:spPr>
            <a:xfrm>
              <a:off x="987453" y="3566818"/>
              <a:ext cx="4809516" cy="64122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Также можно использовать сочетание клавиш. Выберите ячейку D15, нажмите	</a:t>
              </a:r>
              <a:r>
                <a:rPr lang="en-US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                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 и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ВВОД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При этом автоматически будет введена формула с функцией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СУММ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</a:t>
              </a:r>
            </a:p>
          </xdr:txBody>
        </xdr:sp>
        <xdr:sp macro="" textlink="">
          <xdr:nvSpPr>
            <xdr:cNvPr id="243" name="Клавиша «Равно»" descr="Клавиша «Равно»">
              <a:extLst>
                <a:ext uri="{FF2B5EF4-FFF2-40B4-BE49-F238E27FC236}">
                  <a16:creationId xmlns:a16="http://schemas.microsoft.com/office/drawing/2014/main" id="{CF33041B-BB98-41EE-BDDE-38D58DF9865E}"/>
                </a:ext>
              </a:extLst>
            </xdr:cNvPr>
            <xdr:cNvSpPr/>
          </xdr:nvSpPr>
          <xdr:spPr>
            <a:xfrm>
              <a:off x="2222630" y="3817946"/>
              <a:ext cx="422585" cy="155755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000">
                  <a:solidFill>
                    <a:schemeClr val="tx1"/>
                  </a:solidFill>
                </a:rPr>
                <a:t>=</a:t>
              </a:r>
              <a:endParaRPr lang="en-US" sz="9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44" name="Клавиша ALT" descr="Клавиша ALT">
              <a:extLst>
                <a:ext uri="{FF2B5EF4-FFF2-40B4-BE49-F238E27FC236}">
                  <a16:creationId xmlns:a16="http://schemas.microsoft.com/office/drawing/2014/main" id="{0BFE17A4-7B91-43C3-90BB-12A4D5132A91}"/>
                </a:ext>
              </a:extLst>
            </xdr:cNvPr>
            <xdr:cNvSpPr/>
          </xdr:nvSpPr>
          <xdr:spPr>
            <a:xfrm>
              <a:off x="1730814" y="3817944"/>
              <a:ext cx="422585" cy="155755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900" spc="100" baseline="0">
                  <a:solidFill>
                    <a:schemeClr val="tx1"/>
                  </a:solidFill>
                </a:rPr>
                <a:t>ALT</a:t>
              </a:r>
              <a:endParaRPr lang="en-US" sz="800" spc="100" baseline="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twoCellAnchor>
    <xdr:from>
      <xdr:col>0</xdr:col>
      <xdr:colOff>647700</xdr:colOff>
      <xdr:row>22</xdr:row>
      <xdr:rowOff>146182</xdr:rowOff>
    </xdr:from>
    <xdr:to>
      <xdr:col>1</xdr:col>
      <xdr:colOff>2523042</xdr:colOff>
      <xdr:row>25</xdr:row>
      <xdr:rowOff>105606</xdr:rowOff>
    </xdr:to>
    <xdr:sp macro="" textlink="">
      <xdr:nvSpPr>
        <xdr:cNvPr id="249" name="Кнопка «Подробнее»" descr="Подробнее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6AB3AC76-DD69-410E-A89A-4CD74A6C6C64}"/>
            </a:ext>
          </a:extLst>
        </xdr:cNvPr>
        <xdr:cNvSpPr/>
      </xdr:nvSpPr>
      <xdr:spPr>
        <a:xfrm>
          <a:off x="647700" y="4908682"/>
          <a:ext cx="2720168" cy="53092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Подробнее</a:t>
          </a:r>
        </a:p>
      </xdr:txBody>
    </xdr:sp>
    <xdr:clientData/>
  </xdr:twoCellAnchor>
  <xdr:twoCellAnchor>
    <xdr:from>
      <xdr:col>1</xdr:col>
      <xdr:colOff>3382671</xdr:colOff>
      <xdr:row>22</xdr:row>
      <xdr:rowOff>146182</xdr:rowOff>
    </xdr:from>
    <xdr:to>
      <xdr:col>1</xdr:col>
      <xdr:colOff>5002671</xdr:colOff>
      <xdr:row>24</xdr:row>
      <xdr:rowOff>110081</xdr:rowOff>
    </xdr:to>
    <xdr:sp macro="" textlink="">
      <xdr:nvSpPr>
        <xdr:cNvPr id="250" name="Кнопка «Далее»" descr="Кнопка «Следующий шаг» с гиперссылкой на следующий шаг">
          <a:hlinkClick xmlns:r="http://schemas.openxmlformats.org/officeDocument/2006/relationships" r:id="rId2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08AAD723-1A75-444B-BF90-661FB4EE2F13}"/>
            </a:ext>
          </a:extLst>
        </xdr:cNvPr>
        <xdr:cNvSpPr/>
      </xdr:nvSpPr>
      <xdr:spPr>
        <a:xfrm>
          <a:off x="4227497" y="4908682"/>
          <a:ext cx="1620000" cy="3448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Следующий шаг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666751</xdr:colOff>
      <xdr:row>15</xdr:row>
      <xdr:rowOff>9525</xdr:rowOff>
    </xdr:from>
    <xdr:to>
      <xdr:col>9</xdr:col>
      <xdr:colOff>495298</xdr:colOff>
      <xdr:row>26</xdr:row>
      <xdr:rowOff>152400</xdr:rowOff>
    </xdr:to>
    <xdr:grpSp>
      <xdr:nvGrpSpPr>
        <xdr:cNvPr id="50" name="Группа 49" descr="ДОПОЛНИТЕЛЬНО&#10;Попробуйте добавить сюда другую формулу СУММЕСЛИ, но укажите значения меньше 100. Результат должен составить 160.&#10;">
          <a:extLst>
            <a:ext uri="{FF2B5EF4-FFF2-40B4-BE49-F238E27FC236}">
              <a16:creationId xmlns:a16="http://schemas.microsoft.com/office/drawing/2014/main" id="{43A9A155-5F39-462E-9668-46F47F332723}"/>
            </a:ext>
          </a:extLst>
        </xdr:cNvPr>
        <xdr:cNvGrpSpPr/>
      </xdr:nvGrpSpPr>
      <xdr:grpSpPr>
        <a:xfrm>
          <a:off x="8963026" y="3438525"/>
          <a:ext cx="2781297" cy="2238375"/>
          <a:chOff x="9048750" y="3743325"/>
          <a:chExt cx="2909467" cy="2238375"/>
        </a:xfrm>
      </xdr:grpSpPr>
      <xdr:sp macro="" textlink="">
        <xdr:nvSpPr>
          <xdr:cNvPr id="51" name="Шаг" descr="ДОПОЛНИТЕЛЬНО&#10;Попробуйте сами ввести здесь функцию СРЗНАЧ или СЧЁТ. Обратите внимание на то, как технология IntelliSense помогает заполнять формулу.&#10;">
            <a:extLst>
              <a:ext uri="{FF2B5EF4-FFF2-40B4-BE49-F238E27FC236}">
                <a16:creationId xmlns:a16="http://schemas.microsoft.com/office/drawing/2014/main" id="{C7598491-5930-49C3-AC46-AC4F3207CA92}"/>
              </a:ext>
            </a:extLst>
          </xdr:cNvPr>
          <xdr:cNvSpPr txBox="1"/>
        </xdr:nvSpPr>
        <xdr:spPr>
          <a:xfrm>
            <a:off x="9648641" y="3905249"/>
            <a:ext cx="2309576" cy="20764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" panose="020B0502040204020203" pitchFamily="34" charset="0"/>
              </a:rPr>
              <a:t>ДОПОЛНИТЕЛЬНО</a:t>
            </a:r>
          </a:p>
          <a:p>
            <a:pPr lvl="0" rtl="0">
              <a:defRPr/>
            </a:pPr>
            <a:r>
              <a:rPr lang="ru" sz="1200"/>
              <a:t>Попробуйте использовать здесь функцию</a:t>
            </a:r>
            <a:r>
              <a:rPr lang="en-US" sz="1200" baseline="0"/>
              <a:t> </a:t>
            </a:r>
            <a:r>
              <a:rPr lang="ru" sz="1200" b="1"/>
              <a:t>МЕДИАНА</a:t>
            </a:r>
            <a:r>
              <a:rPr lang="ru" sz="1200"/>
              <a:t> или</a:t>
            </a:r>
            <a:r>
              <a:rPr lang="en-US" sz="1200" baseline="0"/>
              <a:t> </a:t>
            </a:r>
            <a:r>
              <a:rPr lang="ru" sz="1200" b="1"/>
              <a:t>МОДА</a:t>
            </a:r>
            <a:r>
              <a:rPr lang="ru" sz="1200"/>
              <a:t>.</a:t>
            </a:r>
            <a:r>
              <a:rPr lang="ru" sz="1200" baseline="0"/>
              <a:t> </a:t>
            </a:r>
          </a:p>
          <a:p>
            <a:pPr lvl="0" rtl="0">
              <a:defRPr/>
            </a:pPr>
            <a:endParaRPr lang="en-US" sz="1200" baseline="0"/>
          </a:p>
          <a:p>
            <a:pPr lvl="0" rtl="0">
              <a:defRPr/>
            </a:pPr>
            <a:r>
              <a:rPr lang="ru" sz="1200" b="1" baseline="0"/>
              <a:t>МЕДИАНА</a:t>
            </a:r>
            <a:r>
              <a:rPr lang="ru" sz="1200" baseline="0"/>
              <a:t> выводит значение, которое приходится на середину набора данных, а  </a:t>
            </a:r>
          </a:p>
          <a:p>
            <a:pPr lvl="0" rtl="0">
              <a:defRPr/>
            </a:pPr>
            <a:r>
              <a:rPr lang="ru" sz="1200" b="1" baseline="0"/>
              <a:t>МОДА</a:t>
            </a:r>
            <a:r>
              <a:rPr lang="ru" sz="1200" baseline="0"/>
              <a:t> — самое частое значение.</a:t>
            </a:r>
            <a:endParaRPr lang="en-US" sz="1200"/>
          </a:p>
        </xdr:txBody>
      </xdr:sp>
      <xdr:pic>
        <xdr:nvPicPr>
          <xdr:cNvPr id="52" name="Лента «Дополнительно»" descr="Декоративная лента">
            <a:extLst>
              <a:ext uri="{FF2B5EF4-FFF2-40B4-BE49-F238E27FC236}">
                <a16:creationId xmlns:a16="http://schemas.microsoft.com/office/drawing/2014/main" id="{63D71461-4F6F-45F1-9548-9DA4EB80A9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287099" y="3950551"/>
            <a:ext cx="474289" cy="439736"/>
          </a:xfrm>
          <a:prstGeom prst="rect">
            <a:avLst/>
          </a:prstGeom>
        </xdr:spPr>
      </xdr:pic>
      <xdr:sp macro="" textlink="">
        <xdr:nvSpPr>
          <xdr:cNvPr id="53" name="Стрелка «Дополнительно»" descr="Стрелка">
            <a:extLst>
              <a:ext uri="{FF2B5EF4-FFF2-40B4-BE49-F238E27FC236}">
                <a16:creationId xmlns:a16="http://schemas.microsoft.com/office/drawing/2014/main" id="{76F97E3C-3390-4255-AEB3-F5C8B5C2B97F}"/>
              </a:ext>
            </a:extLst>
          </xdr:cNvPr>
          <xdr:cNvSpPr/>
        </xdr:nvSpPr>
        <xdr:spPr>
          <a:xfrm rot="15682076" flipH="1">
            <a:off x="9021478" y="3770597"/>
            <a:ext cx="462029" cy="407486"/>
          </a:xfrm>
          <a:prstGeom prst="arc">
            <a:avLst>
              <a:gd name="adj1" fmla="val 11397275"/>
              <a:gd name="adj2" fmla="val 672396"/>
            </a:avLst>
          </a:prstGeom>
          <a:ln w="19050">
            <a:solidFill>
              <a:schemeClr val="accent2">
                <a:lumMod val="60000"/>
                <a:lumOff val="40000"/>
              </a:schemeClr>
            </a:solidFill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  <xdr:twoCellAnchor>
    <xdr:from>
      <xdr:col>0</xdr:col>
      <xdr:colOff>481025</xdr:colOff>
      <xdr:row>13</xdr:row>
      <xdr:rowOff>141556</xdr:rowOff>
    </xdr:from>
    <xdr:to>
      <xdr:col>1</xdr:col>
      <xdr:colOff>779257</xdr:colOff>
      <xdr:row>15</xdr:row>
      <xdr:rowOff>108028</xdr:rowOff>
    </xdr:to>
    <xdr:sp macro="" textlink="">
      <xdr:nvSpPr>
        <xdr:cNvPr id="58" name="Кнопка«Назад»" descr="Вернуться на предыдущий лист">
          <a:hlinkClick xmlns:r="http://schemas.openxmlformats.org/officeDocument/2006/relationships" r:id="rId3" tooltip="Щелкните здесь, чтобы вернуться на предыдущий лист"/>
          <a:extLst>
            <a:ext uri="{FF2B5EF4-FFF2-40B4-BE49-F238E27FC236}">
              <a16:creationId xmlns:a16="http://schemas.microsoft.com/office/drawing/2014/main" id="{EE1A025E-E5F5-42C2-A923-F18079A2D0C2}"/>
            </a:ext>
          </a:extLst>
        </xdr:cNvPr>
        <xdr:cNvSpPr/>
      </xdr:nvSpPr>
      <xdr:spPr>
        <a:xfrm flipH="1">
          <a:off x="481025" y="3189556"/>
          <a:ext cx="1145957" cy="347472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/>
  </xdr:twoCellAnchor>
  <xdr:twoCellAnchor>
    <xdr:from>
      <xdr:col>1</xdr:col>
      <xdr:colOff>3662126</xdr:colOff>
      <xdr:row>13</xdr:row>
      <xdr:rowOff>103667</xdr:rowOff>
    </xdr:from>
    <xdr:to>
      <xdr:col>1</xdr:col>
      <xdr:colOff>4794925</xdr:colOff>
      <xdr:row>15</xdr:row>
      <xdr:rowOff>70139</xdr:rowOff>
    </xdr:to>
    <xdr:sp macro="" textlink="">
      <xdr:nvSpPr>
        <xdr:cNvPr id="59" name="КнопкаДалее" descr="Перейти к следующему листу">
          <a:hlinkClick xmlns:r="http://schemas.openxmlformats.org/officeDocument/2006/relationships" r:id="rId4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B719355D-8104-483A-8DA4-D2E87460A898}"/>
            </a:ext>
          </a:extLst>
        </xdr:cNvPr>
        <xdr:cNvSpPr/>
      </xdr:nvSpPr>
      <xdr:spPr>
        <a:xfrm>
          <a:off x="4509851" y="3151667"/>
          <a:ext cx="1132799" cy="347472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/>
  </xdr:twoCellAnchor>
  <xdr:twoCellAnchor>
    <xdr:from>
      <xdr:col>0</xdr:col>
      <xdr:colOff>323850</xdr:colOff>
      <xdr:row>17</xdr:row>
      <xdr:rowOff>161925</xdr:rowOff>
    </xdr:from>
    <xdr:to>
      <xdr:col>1</xdr:col>
      <xdr:colOff>5172075</xdr:colOff>
      <xdr:row>30</xdr:row>
      <xdr:rowOff>151425</xdr:rowOff>
    </xdr:to>
    <xdr:grpSp>
      <xdr:nvGrpSpPr>
        <xdr:cNvPr id="3" name="Группа 2">
          <a:extLst>
            <a:ext uri="{FF2B5EF4-FFF2-40B4-BE49-F238E27FC236}">
              <a16:creationId xmlns:a16="http://schemas.microsoft.com/office/drawing/2014/main" id="{34477964-9438-41C6-89D0-AF7334519BC2}"/>
            </a:ext>
          </a:extLst>
        </xdr:cNvPr>
        <xdr:cNvGrpSpPr/>
      </xdr:nvGrpSpPr>
      <xdr:grpSpPr>
        <a:xfrm>
          <a:off x="323850" y="3971925"/>
          <a:ext cx="5695950" cy="2466000"/>
          <a:chOff x="323850" y="3781425"/>
          <a:chExt cx="5695950" cy="2466000"/>
        </a:xfrm>
      </xdr:grpSpPr>
      <xdr:sp macro="" textlink="">
        <xdr:nvSpPr>
          <xdr:cNvPr id="62" name="Прямоугольник 61">
            <a:extLst>
              <a:ext uri="{FF2B5EF4-FFF2-40B4-BE49-F238E27FC236}">
                <a16:creationId xmlns:a16="http://schemas.microsoft.com/office/drawing/2014/main" id="{7125C27C-4C9D-4FC4-9FD6-9CD3DE78B720}"/>
              </a:ext>
            </a:extLst>
          </xdr:cNvPr>
          <xdr:cNvSpPr/>
        </xdr:nvSpPr>
        <xdr:spPr>
          <a:xfrm>
            <a:off x="323850" y="3781425"/>
            <a:ext cx="5695950" cy="2466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/>
          </a:p>
        </xdr:txBody>
      </xdr:sp>
      <xdr:sp macro="" textlink="">
        <xdr:nvSpPr>
          <xdr:cNvPr id="63" name="Шаг" descr="Дополнительные сведения в Интернете&#10;">
            <a:extLst>
              <a:ext uri="{FF2B5EF4-FFF2-40B4-BE49-F238E27FC236}">
                <a16:creationId xmlns:a16="http://schemas.microsoft.com/office/drawing/2014/main" id="{0FB0039E-A122-4A42-81FA-0F5978D304F5}"/>
              </a:ext>
            </a:extLst>
          </xdr:cNvPr>
          <xdr:cNvSpPr txBox="1"/>
        </xdr:nvSpPr>
        <xdr:spPr>
          <a:xfrm>
            <a:off x="553932" y="3861629"/>
            <a:ext cx="5220000" cy="394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Дополнительные сведения в Интернете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cxnSp macro="">
        <xdr:nvCxnSpPr>
          <xdr:cNvPr id="64" name="Прямая соединительная линия 63" descr="Декоративная линия">
            <a:extLst>
              <a:ext uri="{FF2B5EF4-FFF2-40B4-BE49-F238E27FC236}">
                <a16:creationId xmlns:a16="http://schemas.microsoft.com/office/drawing/2014/main" id="{78F5D1BC-989A-47DA-B5D1-2BEA7D8D2D8A}"/>
              </a:ext>
            </a:extLst>
          </xdr:cNvPr>
          <xdr:cNvCxnSpPr>
            <a:cxnSpLocks/>
          </xdr:cNvCxnSpPr>
        </xdr:nvCxnSpPr>
        <xdr:spPr>
          <a:xfrm>
            <a:off x="557084" y="4327143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Прямая соединительная линия 64" descr="Декоративная линия">
            <a:extLst>
              <a:ext uri="{FF2B5EF4-FFF2-40B4-BE49-F238E27FC236}">
                <a16:creationId xmlns:a16="http://schemas.microsoft.com/office/drawing/2014/main" id="{92AA8791-8905-41A1-9A28-1540446DB53D}"/>
              </a:ext>
            </a:extLst>
          </xdr:cNvPr>
          <xdr:cNvCxnSpPr>
            <a:cxnSpLocks/>
          </xdr:cNvCxnSpPr>
        </xdr:nvCxnSpPr>
        <xdr:spPr>
          <a:xfrm>
            <a:off x="557084" y="6016857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533831</xdr:colOff>
      <xdr:row>21</xdr:row>
      <xdr:rowOff>7069</xdr:rowOff>
    </xdr:from>
    <xdr:to>
      <xdr:col>1</xdr:col>
      <xdr:colOff>2552700</xdr:colOff>
      <xdr:row>22</xdr:row>
      <xdr:rowOff>175648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2A2F1EF0-54C4-4E96-96D9-0F415372CF05}"/>
            </a:ext>
          </a:extLst>
        </xdr:cNvPr>
        <xdr:cNvGrpSpPr/>
      </xdr:nvGrpSpPr>
      <xdr:grpSpPr>
        <a:xfrm>
          <a:off x="533831" y="4579069"/>
          <a:ext cx="2866594" cy="359079"/>
          <a:chOff x="533831" y="4331419"/>
          <a:chExt cx="2866594" cy="359079"/>
        </a:xfrm>
      </xdr:grpSpPr>
      <xdr:sp macro="" textlink="">
        <xdr:nvSpPr>
          <xdr:cNvPr id="66" name="Шаг" descr="Гиперссылка на веб-страницу о функции СРЗНАЧ&#10;&#10;">
            <a:hlinkClick xmlns:r="http://schemas.openxmlformats.org/officeDocument/2006/relationships" r:id="rId5" tooltip="Подробные сведения о функции СРЗНАЧ в Интернете"/>
            <a:extLst>
              <a:ext uri="{FF2B5EF4-FFF2-40B4-BE49-F238E27FC236}">
                <a16:creationId xmlns:a16="http://schemas.microsoft.com/office/drawing/2014/main" id="{8B6EBA78-A2A3-48B8-B201-71B7C5D097B9}"/>
              </a:ext>
            </a:extLst>
          </xdr:cNvPr>
          <xdr:cNvSpPr txBox="1"/>
        </xdr:nvSpPr>
        <xdr:spPr>
          <a:xfrm>
            <a:off x="999016" y="4405779"/>
            <a:ext cx="2401409" cy="2539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СРЗНАЧ</a:t>
            </a:r>
          </a:p>
        </xdr:txBody>
      </xdr:sp>
      <xdr:pic>
        <xdr:nvPicPr>
          <xdr:cNvPr id="67" name="Графический объект 22" descr="Стрелка">
            <a:hlinkClick xmlns:r="http://schemas.openxmlformats.org/officeDocument/2006/relationships" r:id="rId5" tooltip="Дополнительные сведения в Интернете"/>
            <a:extLst>
              <a:ext uri="{FF2B5EF4-FFF2-40B4-BE49-F238E27FC236}">
                <a16:creationId xmlns:a16="http://schemas.microsoft.com/office/drawing/2014/main" id="{69F15F0C-F8AA-4F17-94DE-8B52CC5E10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33831" y="4331419"/>
            <a:ext cx="492262" cy="3590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533831</xdr:colOff>
      <xdr:row>23</xdr:row>
      <xdr:rowOff>510</xdr:rowOff>
    </xdr:from>
    <xdr:to>
      <xdr:col>1</xdr:col>
      <xdr:colOff>2581275</xdr:colOff>
      <xdr:row>24</xdr:row>
      <xdr:rowOff>174399</xdr:rowOff>
    </xdr:to>
    <xdr:grpSp>
      <xdr:nvGrpSpPr>
        <xdr:cNvPr id="5" name="Группа 4">
          <a:extLst>
            <a:ext uri="{FF2B5EF4-FFF2-40B4-BE49-F238E27FC236}">
              <a16:creationId xmlns:a16="http://schemas.microsoft.com/office/drawing/2014/main" id="{8070DC97-C65B-4D56-B70E-5A742EA38D3C}"/>
            </a:ext>
          </a:extLst>
        </xdr:cNvPr>
        <xdr:cNvGrpSpPr/>
      </xdr:nvGrpSpPr>
      <xdr:grpSpPr>
        <a:xfrm>
          <a:off x="533831" y="4953510"/>
          <a:ext cx="2895169" cy="364389"/>
          <a:chOff x="533831" y="4705860"/>
          <a:chExt cx="2895169" cy="364389"/>
        </a:xfrm>
      </xdr:grpSpPr>
      <xdr:sp macro="" textlink="">
        <xdr:nvSpPr>
          <xdr:cNvPr id="68" name="Шаг" descr="Гиперссылка на веб-страницу о функции СЧЁТ&#10;">
            <a:hlinkClick xmlns:r="http://schemas.openxmlformats.org/officeDocument/2006/relationships" r:id="rId8" tooltip="Подробные сведения о функции МЕДИАНА в Интернете"/>
            <a:extLst>
              <a:ext uri="{FF2B5EF4-FFF2-40B4-BE49-F238E27FC236}">
                <a16:creationId xmlns:a16="http://schemas.microsoft.com/office/drawing/2014/main" id="{BA81DE9B-3E7D-4972-B9DA-B32D9B84A7B0}"/>
              </a:ext>
            </a:extLst>
          </xdr:cNvPr>
          <xdr:cNvSpPr txBox="1"/>
        </xdr:nvSpPr>
        <xdr:spPr>
          <a:xfrm>
            <a:off x="999016" y="4802711"/>
            <a:ext cx="2429984" cy="2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МЕДИАНА</a:t>
            </a:r>
          </a:p>
        </xdr:txBody>
      </xdr:sp>
      <xdr:pic>
        <xdr:nvPicPr>
          <xdr:cNvPr id="69" name="Графический объект 22" descr="Стрелка">
            <a:hlinkClick xmlns:r="http://schemas.openxmlformats.org/officeDocument/2006/relationships" r:id="rId8" tooltip="Дополнительные сведения в Интернете"/>
            <a:extLst>
              <a:ext uri="{FF2B5EF4-FFF2-40B4-BE49-F238E27FC236}">
                <a16:creationId xmlns:a16="http://schemas.microsoft.com/office/drawing/2014/main" id="{9892FEF6-FCEC-4300-8BD3-7D5F3A40FF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33831" y="4705860"/>
            <a:ext cx="492262" cy="36438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533831</xdr:colOff>
      <xdr:row>25</xdr:row>
      <xdr:rowOff>14173</xdr:rowOff>
    </xdr:from>
    <xdr:to>
      <xdr:col>1</xdr:col>
      <xdr:colOff>2155460</xdr:colOff>
      <xdr:row>26</xdr:row>
      <xdr:rowOff>182752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CA2605E-542A-4852-9719-D7B97D165AA8}"/>
            </a:ext>
          </a:extLst>
        </xdr:cNvPr>
        <xdr:cNvGrpSpPr/>
      </xdr:nvGrpSpPr>
      <xdr:grpSpPr>
        <a:xfrm>
          <a:off x="533831" y="5348173"/>
          <a:ext cx="2469354" cy="359079"/>
          <a:chOff x="533831" y="5100523"/>
          <a:chExt cx="2469354" cy="359079"/>
        </a:xfrm>
      </xdr:grpSpPr>
      <xdr:sp macro="" textlink="">
        <xdr:nvSpPr>
          <xdr:cNvPr id="70" name="Шаг" descr="Гиперссылка на веб-страницу об использовании Excel в качестве калькулятора&#10;">
            <a:hlinkClick xmlns:r="http://schemas.openxmlformats.org/officeDocument/2006/relationships" r:id="rId9" tooltip="Подробные сведения о функции МОДА в Интернете"/>
            <a:extLst>
              <a:ext uri="{FF2B5EF4-FFF2-40B4-BE49-F238E27FC236}">
                <a16:creationId xmlns:a16="http://schemas.microsoft.com/office/drawing/2014/main" id="{D8C06581-85B1-48B2-9903-8FE135F6657E}"/>
              </a:ext>
            </a:extLst>
          </xdr:cNvPr>
          <xdr:cNvSpPr txBox="1"/>
        </xdr:nvSpPr>
        <xdr:spPr>
          <a:xfrm>
            <a:off x="999016" y="5196474"/>
            <a:ext cx="2004169" cy="2375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МОДА</a:t>
            </a:r>
          </a:p>
        </xdr:txBody>
      </xdr:sp>
      <xdr:pic>
        <xdr:nvPicPr>
          <xdr:cNvPr id="71" name="Графический объект 70" descr="Стрелка">
            <a:hlinkClick xmlns:r="http://schemas.openxmlformats.org/officeDocument/2006/relationships" r:id="rId9" tooltip="Дополнительные сведения в Интернете"/>
            <a:extLst>
              <a:ext uri="{FF2B5EF4-FFF2-40B4-BE49-F238E27FC236}">
                <a16:creationId xmlns:a16="http://schemas.microsoft.com/office/drawing/2014/main" id="{23BB92B1-ADE3-4F88-9E72-298DC0EA42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33831" y="5100523"/>
            <a:ext cx="492262" cy="3590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546440</xdr:colOff>
      <xdr:row>27</xdr:row>
      <xdr:rowOff>22528</xdr:rowOff>
    </xdr:from>
    <xdr:to>
      <xdr:col>1</xdr:col>
      <xdr:colOff>3019432</xdr:colOff>
      <xdr:row>29</xdr:row>
      <xdr:rowOff>1528</xdr:rowOff>
    </xdr:to>
    <xdr:grpSp>
      <xdr:nvGrpSpPr>
        <xdr:cNvPr id="7" name="Группа 6">
          <a:extLst>
            <a:ext uri="{FF2B5EF4-FFF2-40B4-BE49-F238E27FC236}">
              <a16:creationId xmlns:a16="http://schemas.microsoft.com/office/drawing/2014/main" id="{73707755-F600-4512-81C1-EB2BE159BA8A}"/>
            </a:ext>
          </a:extLst>
        </xdr:cNvPr>
        <xdr:cNvGrpSpPr/>
      </xdr:nvGrpSpPr>
      <xdr:grpSpPr>
        <a:xfrm>
          <a:off x="546440" y="5737528"/>
          <a:ext cx="3320717" cy="360000"/>
          <a:chOff x="546440" y="5489878"/>
          <a:chExt cx="2368175" cy="360000"/>
        </a:xfrm>
      </xdr:grpSpPr>
      <xdr:sp macro="" textlink="">
        <xdr:nvSpPr>
          <xdr:cNvPr id="72" name="Шаг" descr="Гиперссылка на бесплатные учебные веб-курсы по Excel&#10;">
            <a:hlinkClick xmlns:r="http://schemas.openxmlformats.org/officeDocument/2006/relationships" r:id="rId10" tooltip="Сведения о бесплатных учебных веб-курсах по Excel"/>
            <a:extLst>
              <a:ext uri="{FF2B5EF4-FFF2-40B4-BE49-F238E27FC236}">
                <a16:creationId xmlns:a16="http://schemas.microsoft.com/office/drawing/2014/main" id="{C58EAA90-3FBF-49C2-82FA-21634FD8AC83}"/>
              </a:ext>
            </a:extLst>
          </xdr:cNvPr>
          <xdr:cNvSpPr txBox="1"/>
        </xdr:nvSpPr>
        <xdr:spPr>
          <a:xfrm>
            <a:off x="875772" y="5569557"/>
            <a:ext cx="2038843" cy="248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Бесплатные учебные веб-курсы по Excel</a:t>
            </a:r>
          </a:p>
        </xdr:txBody>
      </xdr:sp>
      <xdr:pic>
        <xdr:nvPicPr>
          <xdr:cNvPr id="73" name="Графический объект 22" descr="Стрелка">
            <a:hlinkClick xmlns:r="http://schemas.openxmlformats.org/officeDocument/2006/relationships" r:id="rId10" tooltip="Дополнительные сведения в Интернете"/>
            <a:extLst>
              <a:ext uri="{FF2B5EF4-FFF2-40B4-BE49-F238E27FC236}">
                <a16:creationId xmlns:a16="http://schemas.microsoft.com/office/drawing/2014/main" id="{EB32D096-867C-44AB-99CB-60AA41C6F3CE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46440" y="5489878"/>
            <a:ext cx="351727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333375</xdr:colOff>
      <xdr:row>0</xdr:row>
      <xdr:rowOff>352425</xdr:rowOff>
    </xdr:from>
    <xdr:to>
      <xdr:col>1</xdr:col>
      <xdr:colOff>5162550</xdr:colOff>
      <xdr:row>17</xdr:row>
      <xdr:rowOff>34425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3E5237C-83C3-4564-93AA-DF5775431276}"/>
            </a:ext>
          </a:extLst>
        </xdr:cNvPr>
        <xdr:cNvGrpSpPr/>
      </xdr:nvGrpSpPr>
      <xdr:grpSpPr>
        <a:xfrm>
          <a:off x="333375" y="352425"/>
          <a:ext cx="5676900" cy="3492000"/>
          <a:chOff x="333375" y="352425"/>
          <a:chExt cx="5676900" cy="3492000"/>
        </a:xfrm>
      </xdr:grpSpPr>
      <xdr:sp macro="" textlink="">
        <xdr:nvSpPr>
          <xdr:cNvPr id="54" name="Фон" descr="Фон">
            <a:extLst>
              <a:ext uri="{FF2B5EF4-FFF2-40B4-BE49-F238E27FC236}">
                <a16:creationId xmlns:a16="http://schemas.microsoft.com/office/drawing/2014/main" id="{946CF461-EAD5-42C2-9617-11F5AB31034E}"/>
              </a:ext>
            </a:extLst>
          </xdr:cNvPr>
          <xdr:cNvSpPr/>
        </xdr:nvSpPr>
        <xdr:spPr>
          <a:xfrm>
            <a:off x="333375" y="352425"/>
            <a:ext cx="5676900" cy="3492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220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cxnSp macro="">
        <xdr:nvCxnSpPr>
          <xdr:cNvPr id="55" name="Нижняя линия" descr="Декоративная линия">
            <a:extLst>
              <a:ext uri="{FF2B5EF4-FFF2-40B4-BE49-F238E27FC236}">
                <a16:creationId xmlns:a16="http://schemas.microsoft.com/office/drawing/2014/main" id="{19CE13EE-832F-4DD0-B1BF-1804BA768D33}"/>
              </a:ext>
            </a:extLst>
          </xdr:cNvPr>
          <xdr:cNvCxnSpPr>
            <a:cxnSpLocks/>
          </xdr:cNvCxnSpPr>
        </xdr:nvCxnSpPr>
        <xdr:spPr>
          <a:xfrm>
            <a:off x="561975" y="872785"/>
            <a:ext cx="5195940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Шаг" descr="Функции СРЗНАЧ и СЧЁТ">
            <a:extLst>
              <a:ext uri="{FF2B5EF4-FFF2-40B4-BE49-F238E27FC236}">
                <a16:creationId xmlns:a16="http://schemas.microsoft.com/office/drawing/2014/main" id="{0EC26865-CBCE-4A2A-ABDC-3A3BD17755CC}"/>
              </a:ext>
            </a:extLst>
          </xdr:cNvPr>
          <xdr:cNvSpPr txBox="1"/>
        </xdr:nvSpPr>
        <xdr:spPr>
          <a:xfrm>
            <a:off x="561975" y="412054"/>
            <a:ext cx="4531545" cy="6442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1200">
                <a:solidFill>
                  <a:srgbClr val="3B3838"/>
                </a:solidFill>
                <a:effectLst/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rPr>
              <a:t>Функция СРЗНАЧ</a:t>
            </a:r>
            <a:endParaRPr kumimoji="0" lang="en-US" sz="2200" b="0" i="0" u="none" strike="noStrike" kern="0" cap="none" spc="0" normalizeH="0" baseline="0">
              <a:ln>
                <a:noFill/>
              </a:ln>
              <a:solidFill>
                <a:srgbClr val="3B3838"/>
              </a:solidFill>
              <a:effectLst/>
              <a:uLnTx/>
              <a:uFillTx/>
              <a:latin typeface="Courier New" panose="02070309020205020404" pitchFamily="49" charset="0"/>
              <a:ea typeface="Segoe UI" pitchFamily="34" charset="0"/>
              <a:cs typeface="Courier New" panose="02070309020205020404" pitchFamily="49" charset="0"/>
            </a:endParaRPr>
          </a:p>
        </xdr:txBody>
      </xdr:sp>
      <xdr:sp macro="" textlink="">
        <xdr:nvSpPr>
          <xdr:cNvPr id="60" name="Общие сведения о сложении чисел" descr="Функция СРЗНАЧ вычисляет среднее значение чисел в диапазоне ячеек.&#10;С помощью функции СЧЁТ можно определить количество ячеек со значениями (числами или текстом).&#10;">
            <a:extLst>
              <a:ext uri="{FF2B5EF4-FFF2-40B4-BE49-F238E27FC236}">
                <a16:creationId xmlns:a16="http://schemas.microsoft.com/office/drawing/2014/main" id="{222C44FC-97C1-4A45-8398-B2E0A188AD11}"/>
              </a:ext>
            </a:extLst>
          </xdr:cNvPr>
          <xdr:cNvSpPr txBox="1"/>
        </xdr:nvSpPr>
        <xdr:spPr>
          <a:xfrm>
            <a:off x="552450" y="895349"/>
            <a:ext cx="5300938" cy="2501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kern="1200">
                <a:solidFill>
                  <a:schemeClr val="dk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Функция </a:t>
            </a:r>
            <a:r>
              <a:rPr lang="ru" sz="1100" b="1" kern="1200">
                <a:solidFill>
                  <a:schemeClr val="dk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СРЗНАЧ</a:t>
            </a:r>
            <a:r>
              <a:rPr lang="ru" sz="1100" kern="1200">
                <a:solidFill>
                  <a:schemeClr val="dk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 вычисляет среднее значение чисел в диапазоне ячеек.</a:t>
            </a:r>
          </a:p>
        </xdr:txBody>
      </xdr:sp>
      <xdr:cxnSp macro="">
        <xdr:nvCxnSpPr>
          <xdr:cNvPr id="74" name="Прямая соединительная линия 73" descr="Декоративная линия">
            <a:extLst>
              <a:ext uri="{FF2B5EF4-FFF2-40B4-BE49-F238E27FC236}">
                <a16:creationId xmlns:a16="http://schemas.microsoft.com/office/drawing/2014/main" id="{EB69A890-AAA0-4D33-8A35-FC1FB4FFC831}"/>
              </a:ext>
            </a:extLst>
          </xdr:cNvPr>
          <xdr:cNvCxnSpPr>
            <a:cxnSpLocks/>
          </xdr:cNvCxnSpPr>
        </xdr:nvCxnSpPr>
        <xdr:spPr>
          <a:xfrm>
            <a:off x="561975" y="3162300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5" name="группа_Шаг">
            <a:extLst>
              <a:ext uri="{FF2B5EF4-FFF2-40B4-BE49-F238E27FC236}">
                <a16:creationId xmlns:a16="http://schemas.microsoft.com/office/drawing/2014/main" id="{337393F7-B1CB-40BB-9DB6-BE20F8463B0C}"/>
              </a:ext>
            </a:extLst>
          </xdr:cNvPr>
          <xdr:cNvGrpSpPr/>
        </xdr:nvGrpSpPr>
        <xdr:grpSpPr>
          <a:xfrm>
            <a:off x="542930" y="1228725"/>
            <a:ext cx="5236919" cy="593022"/>
            <a:chOff x="263059" y="1752333"/>
            <a:chExt cx="5245171" cy="603875"/>
          </a:xfrm>
        </xdr:grpSpPr>
        <xdr:sp macro="" textlink="">
          <xdr:nvSpPr>
            <xdr:cNvPr id="76" name="Шаг" descr="Щелкните ячейку D7, а затем добавьте функцию СРЗНАЧ с помощью мастера автосуммирования.&#10;">
              <a:extLst>
                <a:ext uri="{FF2B5EF4-FFF2-40B4-BE49-F238E27FC236}">
                  <a16:creationId xmlns:a16="http://schemas.microsoft.com/office/drawing/2014/main" id="{6F13119C-6E3E-4C36-B32B-49490A490EF6}"/>
                </a:ext>
              </a:extLst>
            </xdr:cNvPr>
            <xdr:cNvSpPr txBox="1"/>
          </xdr:nvSpPr>
          <xdr:spPr>
            <a:xfrm>
              <a:off x="698714" y="1794826"/>
              <a:ext cx="4809516" cy="56138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Выберите ячейку D7, а затем добавьте функцию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СРЗНАЧ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с помощью </a:t>
              </a:r>
              <a:r>
                <a:rPr lang="en-US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A</a:t>
              </a:r>
              <a:r>
                <a:rPr lang="ru-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втосумма</a:t>
              </a:r>
              <a:endPara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77" name="1" descr="1">
              <a:extLst>
                <a:ext uri="{FF2B5EF4-FFF2-40B4-BE49-F238E27FC236}">
                  <a16:creationId xmlns:a16="http://schemas.microsoft.com/office/drawing/2014/main" id="{F8B0CD3C-1CBB-4D6B-8A87-73A3B2261695}"/>
                </a:ext>
              </a:extLst>
            </xdr:cNvPr>
            <xdr:cNvSpPr/>
          </xdr:nvSpPr>
          <xdr:spPr>
            <a:xfrm>
              <a:off x="263059" y="1752333"/>
              <a:ext cx="371587" cy="371586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1</a:t>
              </a:r>
            </a:p>
          </xdr:txBody>
        </xdr:sp>
      </xdr:grpSp>
      <xdr:grpSp>
        <xdr:nvGrpSpPr>
          <xdr:cNvPr id="78" name="группа_Шаг">
            <a:extLst>
              <a:ext uri="{FF2B5EF4-FFF2-40B4-BE49-F238E27FC236}">
                <a16:creationId xmlns:a16="http://schemas.microsoft.com/office/drawing/2014/main" id="{09C24E64-BB63-463B-8648-CD8E2595E290}"/>
              </a:ext>
            </a:extLst>
          </xdr:cNvPr>
          <xdr:cNvGrpSpPr/>
        </xdr:nvGrpSpPr>
        <xdr:grpSpPr>
          <a:xfrm>
            <a:off x="533405" y="1890722"/>
            <a:ext cx="5246444" cy="554931"/>
            <a:chOff x="145889" y="1110025"/>
            <a:chExt cx="5254711" cy="565087"/>
          </a:xfrm>
        </xdr:grpSpPr>
        <xdr:sp macro="" textlink="">
          <xdr:nvSpPr>
            <xdr:cNvPr id="79" name="Шаг" descr="Теперь щелкните ячейку G7 и введите функцию СЧЁТ: =СЧЁТ(D3:D6).&#10;">
              <a:extLst>
                <a:ext uri="{FF2B5EF4-FFF2-40B4-BE49-F238E27FC236}">
                  <a16:creationId xmlns:a16="http://schemas.microsoft.com/office/drawing/2014/main" id="{2BDCA942-D2F9-4CA9-AA98-7ADE8728D2B6}"/>
                </a:ext>
              </a:extLst>
            </xdr:cNvPr>
            <xdr:cNvSpPr txBox="1"/>
          </xdr:nvSpPr>
          <xdr:spPr>
            <a:xfrm>
              <a:off x="591084" y="1113726"/>
              <a:ext cx="4809516" cy="5613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Затем выберите ячейку G7 и введите функцию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СРЗНАЧ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: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=СРЗНАЧ(G3:G6)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</a:t>
              </a: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80" name="1" descr="1">
              <a:extLst>
                <a:ext uri="{FF2B5EF4-FFF2-40B4-BE49-F238E27FC236}">
                  <a16:creationId xmlns:a16="http://schemas.microsoft.com/office/drawing/2014/main" id="{F55E67E8-D8B3-4A12-A9B8-C20610A90059}"/>
                </a:ext>
              </a:extLst>
            </xdr:cNvPr>
            <xdr:cNvSpPr/>
          </xdr:nvSpPr>
          <xdr:spPr>
            <a:xfrm>
              <a:off x="145889" y="1110025"/>
              <a:ext cx="371587" cy="371587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2</a:t>
              </a:r>
            </a:p>
          </xdr:txBody>
        </xdr:sp>
      </xdr:grpSp>
      <xdr:grpSp>
        <xdr:nvGrpSpPr>
          <xdr:cNvPr id="81" name="группа_Шаг">
            <a:extLst>
              <a:ext uri="{FF2B5EF4-FFF2-40B4-BE49-F238E27FC236}">
                <a16:creationId xmlns:a16="http://schemas.microsoft.com/office/drawing/2014/main" id="{AA044558-54FF-4FC4-BA5E-52BCE7820723}"/>
              </a:ext>
            </a:extLst>
          </xdr:cNvPr>
          <xdr:cNvGrpSpPr/>
        </xdr:nvGrpSpPr>
        <xdr:grpSpPr>
          <a:xfrm>
            <a:off x="533400" y="2528880"/>
            <a:ext cx="5293285" cy="596211"/>
            <a:chOff x="146717" y="1138404"/>
            <a:chExt cx="5250416" cy="603889"/>
          </a:xfrm>
        </xdr:grpSpPr>
        <xdr:sp macro="" textlink="">
          <xdr:nvSpPr>
            <xdr:cNvPr id="82" name="Шаг" descr="В ячейке D15 можно воспользоваться мастером автосуммирования или же ввести функцию СРЗНАЧ или СЧЁТ от руки. &#10;">
              <a:extLst>
                <a:ext uri="{FF2B5EF4-FFF2-40B4-BE49-F238E27FC236}">
                  <a16:creationId xmlns:a16="http://schemas.microsoft.com/office/drawing/2014/main" id="{3CD4882E-34FF-4391-9460-106057834DB5}"/>
                </a:ext>
              </a:extLst>
            </xdr:cNvPr>
            <xdr:cNvSpPr txBox="1"/>
          </xdr:nvSpPr>
          <xdr:spPr>
            <a:xfrm>
              <a:off x="587617" y="1180906"/>
              <a:ext cx="4809516" cy="561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 ячейке D15 можно воспользоваться </a:t>
              </a:r>
              <a:r>
                <a:rPr lang="en-US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A</a:t>
              </a:r>
              <a:r>
                <a:rPr lang="ru-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втосумма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или же ввести другую функцию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СРЗНАЧ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от руки. </a:t>
              </a:r>
            </a:p>
          </xdr:txBody>
        </xdr:sp>
        <xdr:sp macro="" textlink="">
          <xdr:nvSpPr>
            <xdr:cNvPr id="83" name="1" descr="1">
              <a:extLst>
                <a:ext uri="{FF2B5EF4-FFF2-40B4-BE49-F238E27FC236}">
                  <a16:creationId xmlns:a16="http://schemas.microsoft.com/office/drawing/2014/main" id="{17E2BC9E-3083-4B7F-8C51-050E0D9F9B57}"/>
                </a:ext>
              </a:extLst>
            </xdr:cNvPr>
            <xdr:cNvSpPr/>
          </xdr:nvSpPr>
          <xdr:spPr>
            <a:xfrm>
              <a:off x="146717" y="1138404"/>
              <a:ext cx="371587" cy="371588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3</a:t>
              </a:r>
            </a:p>
          </xdr:txBody>
        </xdr:sp>
      </xdr:grpSp>
    </xdr:grpSp>
    <xdr:clientData/>
  </xdr:twoCellAnchor>
  <xdr:absoluteAnchor>
    <xdr:pos x="571500" y="3352800"/>
    <xdr:ext cx="1275170" cy="335449"/>
    <xdr:sp macro="" textlink="">
      <xdr:nvSpPr>
        <xdr:cNvPr id="40" name="Кнопка«Назад»" descr="Вернуться на предыдущий лист">
          <a:hlinkClick xmlns:r="http://schemas.openxmlformats.org/officeDocument/2006/relationships" r:id="rId11" tooltip="Щелкните здесь, чтобы вернуться на предыдущий лист"/>
          <a:extLst>
            <a:ext uri="{FF2B5EF4-FFF2-40B4-BE49-F238E27FC236}">
              <a16:creationId xmlns:a16="http://schemas.microsoft.com/office/drawing/2014/main" id="{0E7DA197-ABD1-44AB-B211-A88D7396AFD9}"/>
            </a:ext>
          </a:extLst>
        </xdr:cNvPr>
        <xdr:cNvSpPr/>
      </xdr:nvSpPr>
      <xdr:spPr>
        <a:xfrm flipH="1">
          <a:off x="571500" y="3352800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absoluteAnchor>
  <xdr:absoluteAnchor>
    <xdr:pos x="4494261" y="3352800"/>
    <xdr:ext cx="1275170" cy="335449"/>
    <xdr:sp macro="" textlink="">
      <xdr:nvSpPr>
        <xdr:cNvPr id="41" name="Кнопка«Далее»" descr="Перейти к следующему листу">
          <a:hlinkClick xmlns:r="http://schemas.openxmlformats.org/officeDocument/2006/relationships" r:id="rId12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C770AC94-627D-4EC1-A995-AE96F8191AA8}"/>
            </a:ext>
          </a:extLst>
        </xdr:cNvPr>
        <xdr:cNvSpPr/>
      </xdr:nvSpPr>
      <xdr:spPr>
        <a:xfrm>
          <a:off x="4494261" y="3352800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absoluteAnchor>
  <xdr:twoCellAnchor editAs="absolute">
    <xdr:from>
      <xdr:col>7</xdr:col>
      <xdr:colOff>28575</xdr:colOff>
      <xdr:row>1</xdr:row>
      <xdr:rowOff>95250</xdr:rowOff>
    </xdr:from>
    <xdr:to>
      <xdr:col>11</xdr:col>
      <xdr:colOff>228591</xdr:colOff>
      <xdr:row>8</xdr:row>
      <xdr:rowOff>171451</xdr:rowOff>
    </xdr:to>
    <xdr:grpSp>
      <xdr:nvGrpSpPr>
        <xdr:cNvPr id="42" name="ПОПРОБУЙТЕ САМИ!" descr="ПОПРОБУЙТЕ САМИ!&#10;&#10;">
          <a:extLst>
            <a:ext uri="{FF2B5EF4-FFF2-40B4-BE49-F238E27FC236}">
              <a16:creationId xmlns:a16="http://schemas.microsoft.com/office/drawing/2014/main" id="{4F2C83E2-CCF8-46E7-9C89-FEAB092ACF14}"/>
            </a:ext>
          </a:extLst>
        </xdr:cNvPr>
        <xdr:cNvGrpSpPr/>
      </xdr:nvGrpSpPr>
      <xdr:grpSpPr>
        <a:xfrm>
          <a:off x="10096500" y="857250"/>
          <a:ext cx="2562216" cy="1409701"/>
          <a:chOff x="7539454" y="7993902"/>
          <a:chExt cx="2562091" cy="1409701"/>
        </a:xfrm>
      </xdr:grpSpPr>
      <xdr:grpSp>
        <xdr:nvGrpSpPr>
          <xdr:cNvPr id="43" name="Строки с квадратной скобкой">
            <a:extLst>
              <a:ext uri="{FF2B5EF4-FFF2-40B4-BE49-F238E27FC236}">
                <a16:creationId xmlns:a16="http://schemas.microsoft.com/office/drawing/2014/main" id="{090D3EC1-EA82-4F59-ACD0-96FA59FEEDAE}"/>
              </a:ext>
            </a:extLst>
          </xdr:cNvPr>
          <xdr:cNvGrpSpPr/>
        </xdr:nvGrpSpPr>
        <xdr:grpSpPr>
          <a:xfrm rot="599914">
            <a:off x="7539454" y="8145377"/>
            <a:ext cx="293814" cy="698211"/>
            <a:chOff x="9871108" y="1184220"/>
            <a:chExt cx="273326" cy="789155"/>
          </a:xfrm>
        </xdr:grpSpPr>
        <xdr:sp macro="" textlink="">
          <xdr:nvSpPr>
            <xdr:cNvPr id="46" name="Другая строка с квадратной скобкой" descr="Строка с квадратной скобкой">
              <a:extLst>
                <a:ext uri="{FF2B5EF4-FFF2-40B4-BE49-F238E27FC236}">
                  <a16:creationId xmlns:a16="http://schemas.microsoft.com/office/drawing/2014/main" id="{BEF648EA-371C-4729-AE99-CFA59591F247}"/>
                </a:ext>
              </a:extLst>
            </xdr:cNvPr>
            <xdr:cNvSpPr/>
          </xdr:nvSpPr>
          <xdr:spPr>
            <a:xfrm>
              <a:off x="9871108" y="1184220"/>
              <a:ext cx="273326" cy="262769"/>
            </a:xfrm>
            <a:custGeom>
              <a:avLst/>
              <a:gdLst>
                <a:gd name="connsiteX0" fmla="*/ 0 w 273326"/>
                <a:gd name="connsiteY0" fmla="*/ 193 h 217696"/>
                <a:gd name="connsiteX1" fmla="*/ 157369 w 273326"/>
                <a:gd name="connsiteY1" fmla="*/ 33323 h 217696"/>
                <a:gd name="connsiteX2" fmla="*/ 165652 w 273326"/>
                <a:gd name="connsiteY2" fmla="*/ 207258 h 217696"/>
                <a:gd name="connsiteX3" fmla="*/ 273326 w 273326"/>
                <a:gd name="connsiteY3" fmla="*/ 198976 h 217696"/>
                <a:gd name="connsiteX4" fmla="*/ 273326 w 273326"/>
                <a:gd name="connsiteY4" fmla="*/ 198976 h 2176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73326" h="217696">
                  <a:moveTo>
                    <a:pt x="0" y="193"/>
                  </a:moveTo>
                  <a:cubicBezTo>
                    <a:pt x="64880" y="-498"/>
                    <a:pt x="129760" y="-1188"/>
                    <a:pt x="157369" y="33323"/>
                  </a:cubicBezTo>
                  <a:cubicBezTo>
                    <a:pt x="184978" y="67834"/>
                    <a:pt x="146326" y="179649"/>
                    <a:pt x="165652" y="207258"/>
                  </a:cubicBezTo>
                  <a:cubicBezTo>
                    <a:pt x="184978" y="234867"/>
                    <a:pt x="273326" y="198976"/>
                    <a:pt x="273326" y="198976"/>
                  </a:cubicBezTo>
                  <a:lnTo>
                    <a:pt x="273326" y="198976"/>
                  </a:ln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7" name="Строка с квадратной скобкой" descr="Строка с квадратной скобкой&#10;">
              <a:extLst>
                <a:ext uri="{FF2B5EF4-FFF2-40B4-BE49-F238E27FC236}">
                  <a16:creationId xmlns:a16="http://schemas.microsoft.com/office/drawing/2014/main" id="{E468B18D-E172-4553-95E9-9BB07C824623}"/>
                </a:ext>
              </a:extLst>
            </xdr:cNvPr>
            <xdr:cNvSpPr/>
          </xdr:nvSpPr>
          <xdr:spPr>
            <a:xfrm>
              <a:off x="9983011" y="1430777"/>
              <a:ext cx="160895" cy="542598"/>
            </a:xfrm>
            <a:custGeom>
              <a:avLst/>
              <a:gdLst>
                <a:gd name="connsiteX0" fmla="*/ 0 w 231913"/>
                <a:gd name="connsiteY0" fmla="*/ 579782 h 579782"/>
                <a:gd name="connsiteX1" fmla="*/ 173935 w 231913"/>
                <a:gd name="connsiteY1" fmla="*/ 496956 h 579782"/>
                <a:gd name="connsiteX2" fmla="*/ 107674 w 231913"/>
                <a:gd name="connsiteY2" fmla="*/ 265043 h 579782"/>
                <a:gd name="connsiteX3" fmla="*/ 115956 w 231913"/>
                <a:gd name="connsiteY3" fmla="*/ 57978 h 579782"/>
                <a:gd name="connsiteX4" fmla="*/ 231913 w 231913"/>
                <a:gd name="connsiteY4" fmla="*/ 0 h 57978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31913" h="579782">
                  <a:moveTo>
                    <a:pt x="0" y="579782"/>
                  </a:moveTo>
                  <a:cubicBezTo>
                    <a:pt x="77994" y="564597"/>
                    <a:pt x="155989" y="549413"/>
                    <a:pt x="173935" y="496956"/>
                  </a:cubicBezTo>
                  <a:cubicBezTo>
                    <a:pt x="191881" y="444499"/>
                    <a:pt x="117337" y="338206"/>
                    <a:pt x="107674" y="265043"/>
                  </a:cubicBezTo>
                  <a:cubicBezTo>
                    <a:pt x="98011" y="191880"/>
                    <a:pt x="95250" y="102152"/>
                    <a:pt x="115956" y="57978"/>
                  </a:cubicBezTo>
                  <a:cubicBezTo>
                    <a:pt x="136663" y="13804"/>
                    <a:pt x="184288" y="6902"/>
                    <a:pt x="231913" y="0"/>
                  </a:cubicBez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pic>
        <xdr:nvPicPr>
          <xdr:cNvPr id="44" name="Звезды" descr="Звезды">
            <a:extLst>
              <a:ext uri="{FF2B5EF4-FFF2-40B4-BE49-F238E27FC236}">
                <a16:creationId xmlns:a16="http://schemas.microsoft.com/office/drawing/2014/main" id="{B4018B5E-B4D1-4A74-AA2B-F906998381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7830674" y="8038700"/>
            <a:ext cx="388098" cy="337815"/>
          </a:xfrm>
          <a:prstGeom prst="rect">
            <a:avLst/>
          </a:prstGeom>
        </xdr:spPr>
      </xdr:pic>
      <xdr:sp macro="" textlink="">
        <xdr:nvSpPr>
          <xdr:cNvPr id="45" name="Инструкции" descr="ПОПРОБУЙТЕ САМИ!&#10;Выберите любой диапазон чисел, а затем взгляните на строку состояния, чтобы узнать их среднее значение.&#10;">
            <a:extLst>
              <a:ext uri="{FF2B5EF4-FFF2-40B4-BE49-F238E27FC236}">
                <a16:creationId xmlns:a16="http://schemas.microsoft.com/office/drawing/2014/main" id="{D8493739-C1B9-4EAD-A94C-3DF50BC1811C}"/>
              </a:ext>
            </a:extLst>
          </xdr:cNvPr>
          <xdr:cNvSpPr txBox="1"/>
        </xdr:nvSpPr>
        <xdr:spPr>
          <a:xfrm>
            <a:off x="8132529" y="7993902"/>
            <a:ext cx="1969016" cy="14097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ПОПРОБУЙТЕ САМИ!</a:t>
            </a:r>
          </a:p>
          <a:p>
            <a:pPr lvl="0" rtl="0">
              <a:defRPr/>
            </a:pPr>
            <a:r>
              <a:rPr lang="ru" sz="1100" kern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Выберите любой диапазон чисел</a:t>
            </a:r>
            <a:r>
              <a:rPr lang="ru" sz="1100" kern="0" baseline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, а затем взгляните на строку состояния, чтобы узнать их среднее значение.</a:t>
            </a:r>
            <a:endParaRPr lang="en-US" sz="1100">
              <a:solidFill>
                <a:schemeClr val="bg2">
                  <a:lumMod val="25000"/>
                </a:schemeClr>
              </a:solidFill>
              <a:latin typeface="+mn-lt"/>
              <a:ea typeface="Segoe UI" pitchFamily="34" charset="0"/>
              <a:cs typeface="Segoe UI Light" panose="020B0502040204020203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507180</xdr:colOff>
      <xdr:row>1</xdr:row>
      <xdr:rowOff>110785</xdr:rowOff>
    </xdr:from>
    <xdr:to>
      <xdr:col>1</xdr:col>
      <xdr:colOff>4855395</xdr:colOff>
      <xdr:row>1</xdr:row>
      <xdr:rowOff>110785</xdr:rowOff>
    </xdr:to>
    <xdr:cxnSp macro="">
      <xdr:nvCxnSpPr>
        <xdr:cNvPr id="11" name="Нижняя линия" descr="Декоративная линия">
          <a:extLst>
            <a:ext uri="{FF2B5EF4-FFF2-40B4-BE49-F238E27FC236}">
              <a16:creationId xmlns:a16="http://schemas.microsoft.com/office/drawing/2014/main" id="{B2BB6690-F94B-423E-9085-888A990B20FA}"/>
            </a:ext>
          </a:extLst>
        </xdr:cNvPr>
        <xdr:cNvCxnSpPr>
          <a:cxnSpLocks/>
        </xdr:cNvCxnSpPr>
      </xdr:nvCxnSpPr>
      <xdr:spPr>
        <a:xfrm>
          <a:off x="507180" y="872785"/>
          <a:ext cx="5195940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361950</xdr:colOff>
      <xdr:row>0</xdr:row>
      <xdr:rowOff>352425</xdr:rowOff>
    </xdr:from>
    <xdr:to>
      <xdr:col>1</xdr:col>
      <xdr:colOff>5191125</xdr:colOff>
      <xdr:row>16</xdr:row>
      <xdr:rowOff>123825</xdr:rowOff>
    </xdr:to>
    <xdr:sp macro="" textlink="">
      <xdr:nvSpPr>
        <xdr:cNvPr id="10" name="Фон" descr="Фоновый режим">
          <a:extLst>
            <a:ext uri="{FF2B5EF4-FFF2-40B4-BE49-F238E27FC236}">
              <a16:creationId xmlns:a16="http://schemas.microsoft.com/office/drawing/2014/main" id="{CB9819E8-3CD0-4C0B-A61A-2C34908D539E}"/>
            </a:ext>
          </a:extLst>
        </xdr:cNvPr>
        <xdr:cNvSpPr/>
      </xdr:nvSpPr>
      <xdr:spPr>
        <a:xfrm>
          <a:off x="361950" y="352425"/>
          <a:ext cx="5676900" cy="3390900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 rtl="0"/>
          <a:endParaRPr lang="en-US" sz="2200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554805</xdr:colOff>
      <xdr:row>0</xdr:row>
      <xdr:rowOff>383479</xdr:rowOff>
    </xdr:from>
    <xdr:to>
      <xdr:col>1</xdr:col>
      <xdr:colOff>4906184</xdr:colOff>
      <xdr:row>2</xdr:row>
      <xdr:rowOff>75226</xdr:rowOff>
    </xdr:to>
    <xdr:sp macro="" textlink="">
      <xdr:nvSpPr>
        <xdr:cNvPr id="12" name="Шаг" descr="Функции МИН и МАКС &#10;">
          <a:extLst>
            <a:ext uri="{FF2B5EF4-FFF2-40B4-BE49-F238E27FC236}">
              <a16:creationId xmlns:a16="http://schemas.microsoft.com/office/drawing/2014/main" id="{290AE3DB-684C-4C3A-8975-4F68B8A76E04}"/>
            </a:ext>
          </a:extLst>
        </xdr:cNvPr>
        <xdr:cNvSpPr txBox="1"/>
      </xdr:nvSpPr>
      <xdr:spPr>
        <a:xfrm>
          <a:off x="554805" y="383479"/>
          <a:ext cx="5199104" cy="644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2200" b="0" i="0" u="none" strike="noStrike" kern="1200">
              <a:solidFill>
                <a:srgbClr val="3B3838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Функции МИН и МАКС </a:t>
          </a:r>
          <a:endParaRPr kumimoji="0" lang="en-US" sz="2200" b="0" i="0" u="none" strike="noStrike" kern="0" cap="none" spc="0" normalizeH="0" baseline="0">
            <a:ln>
              <a:noFill/>
            </a:ln>
            <a:solidFill>
              <a:srgbClr val="3B3838"/>
            </a:solidFill>
            <a:effectLst/>
            <a:uLnTx/>
            <a:uFillTx/>
            <a:latin typeface="Courier New" panose="02070309020205020404" pitchFamily="49" charset="0"/>
            <a:ea typeface="Segoe UI" pitchFamily="34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0</xdr:col>
      <xdr:colOff>554805</xdr:colOff>
      <xdr:row>13</xdr:row>
      <xdr:rowOff>70137</xdr:rowOff>
    </xdr:from>
    <xdr:to>
      <xdr:col>1</xdr:col>
      <xdr:colOff>4903020</xdr:colOff>
      <xdr:row>13</xdr:row>
      <xdr:rowOff>70137</xdr:rowOff>
    </xdr:to>
    <xdr:cxnSp macro="">
      <xdr:nvCxnSpPr>
        <xdr:cNvPr id="13" name="Нижняя линия" descr="Декоративная линия">
          <a:extLst>
            <a:ext uri="{FF2B5EF4-FFF2-40B4-BE49-F238E27FC236}">
              <a16:creationId xmlns:a16="http://schemas.microsoft.com/office/drawing/2014/main" id="{3E5AC6B3-B2DC-4232-99C9-EB75DEB63824}"/>
            </a:ext>
          </a:extLst>
        </xdr:cNvPr>
        <xdr:cNvCxnSpPr>
          <a:cxnSpLocks/>
        </xdr:cNvCxnSpPr>
      </xdr:nvCxnSpPr>
      <xdr:spPr>
        <a:xfrm>
          <a:off x="554805" y="3118137"/>
          <a:ext cx="5195940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571505</xdr:colOff>
      <xdr:row>4</xdr:row>
      <xdr:rowOff>109544</xdr:rowOff>
    </xdr:from>
    <xdr:to>
      <xdr:col>1</xdr:col>
      <xdr:colOff>4941642</xdr:colOff>
      <xdr:row>7</xdr:row>
      <xdr:rowOff>131066</xdr:rowOff>
    </xdr:to>
    <xdr:grpSp>
      <xdr:nvGrpSpPr>
        <xdr:cNvPr id="16" name="группа_Шаг">
          <a:extLst>
            <a:ext uri="{FF2B5EF4-FFF2-40B4-BE49-F238E27FC236}">
              <a16:creationId xmlns:a16="http://schemas.microsoft.com/office/drawing/2014/main" id="{ACD1828C-DCA0-413C-9B03-AC8C886B868F}"/>
            </a:ext>
          </a:extLst>
        </xdr:cNvPr>
        <xdr:cNvGrpSpPr/>
      </xdr:nvGrpSpPr>
      <xdr:grpSpPr>
        <a:xfrm>
          <a:off x="571505" y="1443044"/>
          <a:ext cx="5217862" cy="593022"/>
          <a:chOff x="425239" y="1752333"/>
          <a:chExt cx="5226084" cy="603875"/>
        </a:xfrm>
      </xdr:grpSpPr>
      <xdr:sp macro="" textlink="">
        <xdr:nvSpPr>
          <xdr:cNvPr id="24" name="Шаг" descr="Выберите ячейку D7, а затем добавьте функцию МИН с помощью мастера автосуммирования.&#10;&#10;">
            <a:extLst>
              <a:ext uri="{FF2B5EF4-FFF2-40B4-BE49-F238E27FC236}">
                <a16:creationId xmlns:a16="http://schemas.microsoft.com/office/drawing/2014/main" id="{D40637C7-0E2A-4342-9CA2-3732FB1CF31E}"/>
              </a:ext>
            </a:extLst>
          </xdr:cNvPr>
          <xdr:cNvSpPr txBox="1"/>
        </xdr:nvSpPr>
        <xdr:spPr>
          <a:xfrm>
            <a:off x="841807" y="1794826"/>
            <a:ext cx="4809516" cy="5613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Выберите ячейку D7, а затем добавьте функцию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МИН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с помощью мастера автосуммирования.</a:t>
            </a:r>
          </a:p>
        </xdr:txBody>
      </xdr:sp>
      <xdr:sp macro="" textlink="">
        <xdr:nvSpPr>
          <xdr:cNvPr id="25" name="1" descr="1">
            <a:extLst>
              <a:ext uri="{FF2B5EF4-FFF2-40B4-BE49-F238E27FC236}">
                <a16:creationId xmlns:a16="http://schemas.microsoft.com/office/drawing/2014/main" id="{267F72DF-4B2D-4DC6-922D-D0464FE922DC}"/>
              </a:ext>
            </a:extLst>
          </xdr:cNvPr>
          <xdr:cNvSpPr/>
        </xdr:nvSpPr>
        <xdr:spPr>
          <a:xfrm>
            <a:off x="425239" y="1752333"/>
            <a:ext cx="371587" cy="371586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1</a:t>
            </a:r>
          </a:p>
        </xdr:txBody>
      </xdr:sp>
    </xdr:grpSp>
    <xdr:clientData/>
  </xdr:twoCellAnchor>
  <xdr:twoCellAnchor>
    <xdr:from>
      <xdr:col>0</xdr:col>
      <xdr:colOff>561980</xdr:colOff>
      <xdr:row>7</xdr:row>
      <xdr:rowOff>57164</xdr:rowOff>
    </xdr:from>
    <xdr:to>
      <xdr:col>1</xdr:col>
      <xdr:colOff>4932123</xdr:colOff>
      <xdr:row>10</xdr:row>
      <xdr:rowOff>40595</xdr:rowOff>
    </xdr:to>
    <xdr:grpSp>
      <xdr:nvGrpSpPr>
        <xdr:cNvPr id="17" name="группа_Шаг">
          <a:extLst>
            <a:ext uri="{FF2B5EF4-FFF2-40B4-BE49-F238E27FC236}">
              <a16:creationId xmlns:a16="http://schemas.microsoft.com/office/drawing/2014/main" id="{C6DE3E57-FFF3-4FAC-B4DB-48087863CEA8}"/>
            </a:ext>
          </a:extLst>
        </xdr:cNvPr>
        <xdr:cNvGrpSpPr/>
      </xdr:nvGrpSpPr>
      <xdr:grpSpPr>
        <a:xfrm>
          <a:off x="561980" y="1962164"/>
          <a:ext cx="5217868" cy="554931"/>
          <a:chOff x="308069" y="1003336"/>
          <a:chExt cx="5226090" cy="565088"/>
        </a:xfrm>
      </xdr:grpSpPr>
      <xdr:sp macro="" textlink="">
        <xdr:nvSpPr>
          <xdr:cNvPr id="22" name="Шаг" descr="Затем выберите ячейку G7 и введите функцию МАКС: =МАКС(D3:D6).&#10;">
            <a:extLst>
              <a:ext uri="{FF2B5EF4-FFF2-40B4-BE49-F238E27FC236}">
                <a16:creationId xmlns:a16="http://schemas.microsoft.com/office/drawing/2014/main" id="{8D1688A7-CC33-4913-8C67-495A2DA6F76D}"/>
              </a:ext>
            </a:extLst>
          </xdr:cNvPr>
          <xdr:cNvSpPr txBox="1"/>
        </xdr:nvSpPr>
        <xdr:spPr>
          <a:xfrm>
            <a:off x="724643" y="1007037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Затем выберите ячейку G7 и введите функцию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МАКС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: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=МАКС(D3:D6)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</a:t>
            </a:r>
          </a:p>
        </xdr:txBody>
      </xdr:sp>
      <xdr:sp macro="" textlink="">
        <xdr:nvSpPr>
          <xdr:cNvPr id="23" name="1" descr="1">
            <a:extLst>
              <a:ext uri="{FF2B5EF4-FFF2-40B4-BE49-F238E27FC236}">
                <a16:creationId xmlns:a16="http://schemas.microsoft.com/office/drawing/2014/main" id="{D5BF6A91-70D6-46C8-A10E-95B076122A1B}"/>
              </a:ext>
            </a:extLst>
          </xdr:cNvPr>
          <xdr:cNvSpPr/>
        </xdr:nvSpPr>
        <xdr:spPr>
          <a:xfrm>
            <a:off x="308069" y="1003336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2</a:t>
            </a:r>
          </a:p>
        </xdr:txBody>
      </xdr:sp>
    </xdr:grpSp>
    <xdr:clientData/>
  </xdr:twoCellAnchor>
  <xdr:twoCellAnchor>
    <xdr:from>
      <xdr:col>0</xdr:col>
      <xdr:colOff>571500</xdr:colOff>
      <xdr:row>1</xdr:row>
      <xdr:rowOff>133348</xdr:rowOff>
    </xdr:from>
    <xdr:to>
      <xdr:col>1</xdr:col>
      <xdr:colOff>5024713</xdr:colOff>
      <xdr:row>4</xdr:row>
      <xdr:rowOff>57149</xdr:rowOff>
    </xdr:to>
    <xdr:sp macro="" textlink="">
      <xdr:nvSpPr>
        <xdr:cNvPr id="18" name="Общие сведения о сложении чисел" descr="Функция МИН выводит наименьшее число в диапазоне ячеек.&#10;Функция МАКС позволяет узнать самое большое число в диапазоне ячеек.&#10;">
          <a:extLst>
            <a:ext uri="{FF2B5EF4-FFF2-40B4-BE49-F238E27FC236}">
              <a16:creationId xmlns:a16="http://schemas.microsoft.com/office/drawing/2014/main" id="{55E08DD2-73B6-4C69-A6DB-D0A1FB4A580C}"/>
            </a:ext>
          </a:extLst>
        </xdr:cNvPr>
        <xdr:cNvSpPr txBox="1"/>
      </xdr:nvSpPr>
      <xdr:spPr>
        <a:xfrm>
          <a:off x="571500" y="895348"/>
          <a:ext cx="5300938" cy="495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kern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Функция </a:t>
          </a:r>
          <a:r>
            <a:rPr lang="ru" sz="1100" b="1" kern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МИН</a:t>
          </a:r>
          <a:r>
            <a:rPr lang="ru" sz="1100" kern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выводит наименьшее число в диапазоне ячеек.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Функция </a:t>
          </a:r>
          <a:r>
            <a:rPr lang="ru" sz="1100" b="1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МАКС</a:t>
          </a: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 позволяет узнать наибольшее число в диапазоне ячеек.</a:t>
          </a:r>
        </a:p>
      </xdr:txBody>
    </xdr:sp>
    <xdr:clientData/>
  </xdr:twoCellAnchor>
  <xdr:twoCellAnchor>
    <xdr:from>
      <xdr:col>0</xdr:col>
      <xdr:colOff>561975</xdr:colOff>
      <xdr:row>9</xdr:row>
      <xdr:rowOff>190499</xdr:rowOff>
    </xdr:from>
    <xdr:to>
      <xdr:col>1</xdr:col>
      <xdr:colOff>4982917</xdr:colOff>
      <xdr:row>13</xdr:row>
      <xdr:rowOff>24706</xdr:rowOff>
    </xdr:to>
    <xdr:grpSp>
      <xdr:nvGrpSpPr>
        <xdr:cNvPr id="19" name="группа_Шаг">
          <a:extLst>
            <a:ext uri="{FF2B5EF4-FFF2-40B4-BE49-F238E27FC236}">
              <a16:creationId xmlns:a16="http://schemas.microsoft.com/office/drawing/2014/main" id="{E19A8549-EA85-41D7-8F76-919D997AC5D5}"/>
            </a:ext>
          </a:extLst>
        </xdr:cNvPr>
        <xdr:cNvGrpSpPr/>
      </xdr:nvGrpSpPr>
      <xdr:grpSpPr>
        <a:xfrm>
          <a:off x="561975" y="2476499"/>
          <a:ext cx="5268667" cy="596207"/>
          <a:chOff x="307333" y="1003336"/>
          <a:chExt cx="5225997" cy="603885"/>
        </a:xfrm>
      </xdr:grpSpPr>
      <xdr:sp macro="" textlink="">
        <xdr:nvSpPr>
          <xdr:cNvPr id="20" name="Шаг" descr="В ячейке D15 можно воспользоваться мастером автосуммирования или же ввести функцию МИН или МАКС от руки. &#10;&#10;">
            <a:extLst>
              <a:ext uri="{FF2B5EF4-FFF2-40B4-BE49-F238E27FC236}">
                <a16:creationId xmlns:a16="http://schemas.microsoft.com/office/drawing/2014/main" id="{CC98D20A-567C-4788-A414-50C22ED99A17}"/>
              </a:ext>
            </a:extLst>
          </xdr:cNvPr>
          <xdr:cNvSpPr txBox="1"/>
        </xdr:nvSpPr>
        <xdr:spPr>
          <a:xfrm>
            <a:off x="723814" y="1045834"/>
            <a:ext cx="4809516" cy="5613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 ячейке D15 можно воспользоваться мастером автосуммирования или же ввести функцию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МИН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или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МАКС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от руки. </a:t>
            </a:r>
          </a:p>
        </xdr:txBody>
      </xdr:sp>
      <xdr:sp macro="" textlink="">
        <xdr:nvSpPr>
          <xdr:cNvPr id="21" name="1" descr="1">
            <a:extLst>
              <a:ext uri="{FF2B5EF4-FFF2-40B4-BE49-F238E27FC236}">
                <a16:creationId xmlns:a16="http://schemas.microsoft.com/office/drawing/2014/main" id="{83A195FD-69AC-49CF-AB5E-6F20ECC8C30C}"/>
              </a:ext>
            </a:extLst>
          </xdr:cNvPr>
          <xdr:cNvSpPr/>
        </xdr:nvSpPr>
        <xdr:spPr>
          <a:xfrm>
            <a:off x="307333" y="1003336"/>
            <a:ext cx="371587" cy="371587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3</a:t>
            </a:r>
          </a:p>
        </xdr:txBody>
      </xdr:sp>
    </xdr:grpSp>
    <xdr:clientData/>
  </xdr:twoCellAnchor>
  <xdr:twoCellAnchor>
    <xdr:from>
      <xdr:col>0</xdr:col>
      <xdr:colOff>361950</xdr:colOff>
      <xdr:row>17</xdr:row>
      <xdr:rowOff>19051</xdr:rowOff>
    </xdr:from>
    <xdr:to>
      <xdr:col>1</xdr:col>
      <xdr:colOff>5210175</xdr:colOff>
      <xdr:row>28</xdr:row>
      <xdr:rowOff>29551</xdr:rowOff>
    </xdr:to>
    <xdr:grpSp>
      <xdr:nvGrpSpPr>
        <xdr:cNvPr id="3" name="Группа 2">
          <a:extLst>
            <a:ext uri="{FF2B5EF4-FFF2-40B4-BE49-F238E27FC236}">
              <a16:creationId xmlns:a16="http://schemas.microsoft.com/office/drawing/2014/main" id="{93BD323D-B807-4DC9-82D1-2419D0592459}"/>
            </a:ext>
          </a:extLst>
        </xdr:cNvPr>
        <xdr:cNvGrpSpPr/>
      </xdr:nvGrpSpPr>
      <xdr:grpSpPr>
        <a:xfrm>
          <a:off x="361950" y="3829051"/>
          <a:ext cx="5695950" cy="2106000"/>
          <a:chOff x="361950" y="4257676"/>
          <a:chExt cx="5695950" cy="2106000"/>
        </a:xfrm>
      </xdr:grpSpPr>
      <xdr:sp macro="" textlink="">
        <xdr:nvSpPr>
          <xdr:cNvPr id="27" name="Прямоугольник 26">
            <a:extLst>
              <a:ext uri="{FF2B5EF4-FFF2-40B4-BE49-F238E27FC236}">
                <a16:creationId xmlns:a16="http://schemas.microsoft.com/office/drawing/2014/main" id="{D2A991A4-D7C7-4619-B047-CB0C8832AC4C}"/>
              </a:ext>
            </a:extLst>
          </xdr:cNvPr>
          <xdr:cNvSpPr/>
        </xdr:nvSpPr>
        <xdr:spPr>
          <a:xfrm>
            <a:off x="361950" y="4257676"/>
            <a:ext cx="5695950" cy="2106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/>
          </a:p>
        </xdr:txBody>
      </xdr:sp>
      <xdr:sp macro="" textlink="">
        <xdr:nvSpPr>
          <xdr:cNvPr id="28" name="Шаг" descr="Дополнительные сведения в Интернете&#10;">
            <a:extLst>
              <a:ext uri="{FF2B5EF4-FFF2-40B4-BE49-F238E27FC236}">
                <a16:creationId xmlns:a16="http://schemas.microsoft.com/office/drawing/2014/main" id="{DA0507A3-65A2-4A27-BE2D-D23069AF1FD1}"/>
              </a:ext>
            </a:extLst>
          </xdr:cNvPr>
          <xdr:cNvSpPr txBox="1"/>
        </xdr:nvSpPr>
        <xdr:spPr>
          <a:xfrm>
            <a:off x="553932" y="4356929"/>
            <a:ext cx="5008668" cy="394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Дополнительные сведения в Интернете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cxnSp macro="">
        <xdr:nvCxnSpPr>
          <xdr:cNvPr id="29" name="Прямая соединительная линия 28" descr="Декоративная линия">
            <a:extLst>
              <a:ext uri="{FF2B5EF4-FFF2-40B4-BE49-F238E27FC236}">
                <a16:creationId xmlns:a16="http://schemas.microsoft.com/office/drawing/2014/main" id="{B3104255-0CEA-4FDA-A658-47296C06C36F}"/>
              </a:ext>
            </a:extLst>
          </xdr:cNvPr>
          <xdr:cNvCxnSpPr>
            <a:cxnSpLocks/>
          </xdr:cNvCxnSpPr>
        </xdr:nvCxnSpPr>
        <xdr:spPr>
          <a:xfrm>
            <a:off x="553932" y="4812918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Прямая соединительная линия 29" descr="Декоративная линия">
            <a:extLst>
              <a:ext uri="{FF2B5EF4-FFF2-40B4-BE49-F238E27FC236}">
                <a16:creationId xmlns:a16="http://schemas.microsoft.com/office/drawing/2014/main" id="{49D6338B-887A-470A-8EFD-F86CF786FD84}"/>
              </a:ext>
            </a:extLst>
          </xdr:cNvPr>
          <xdr:cNvCxnSpPr>
            <a:cxnSpLocks/>
          </xdr:cNvCxnSpPr>
        </xdr:nvCxnSpPr>
        <xdr:spPr>
          <a:xfrm>
            <a:off x="553932" y="6112107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571931</xdr:colOff>
      <xdr:row>20</xdr:row>
      <xdr:rowOff>64219</xdr:rowOff>
    </xdr:from>
    <xdr:to>
      <xdr:col>1</xdr:col>
      <xdr:colOff>2590800</xdr:colOff>
      <xdr:row>22</xdr:row>
      <xdr:rowOff>42298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FFCA9288-014C-4486-980E-27B20766EED2}"/>
            </a:ext>
          </a:extLst>
        </xdr:cNvPr>
        <xdr:cNvGrpSpPr/>
      </xdr:nvGrpSpPr>
      <xdr:grpSpPr>
        <a:xfrm>
          <a:off x="571931" y="4445719"/>
          <a:ext cx="2866594" cy="359079"/>
          <a:chOff x="571931" y="4826719"/>
          <a:chExt cx="2866594" cy="359079"/>
        </a:xfrm>
      </xdr:grpSpPr>
      <xdr:sp macro="" textlink="">
        <xdr:nvSpPr>
          <xdr:cNvPr id="31" name="Шаг" descr="Гиперссылка на веб-страницу о функции МИН&#10;&#10;">
            <a:hlinkClick xmlns:r="http://schemas.openxmlformats.org/officeDocument/2006/relationships" r:id="rId1" tooltip="Подробные сведения о функции МИН в Интернете"/>
            <a:extLst>
              <a:ext uri="{FF2B5EF4-FFF2-40B4-BE49-F238E27FC236}">
                <a16:creationId xmlns:a16="http://schemas.microsoft.com/office/drawing/2014/main" id="{E268E6C5-C10D-4D45-964B-7EC8CCA4D651}"/>
              </a:ext>
            </a:extLst>
          </xdr:cNvPr>
          <xdr:cNvSpPr txBox="1"/>
        </xdr:nvSpPr>
        <xdr:spPr>
          <a:xfrm>
            <a:off x="1037116" y="4901079"/>
            <a:ext cx="2401409" cy="2539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МИН</a:t>
            </a:r>
          </a:p>
        </xdr:txBody>
      </xdr:sp>
      <xdr:pic>
        <xdr:nvPicPr>
          <xdr:cNvPr id="32" name="Графический объект 22" descr="Стрелка">
            <a:hlinkClick xmlns:r="http://schemas.openxmlformats.org/officeDocument/2006/relationships" r:id="rId1" tooltip="Дополнительные сведения в Интернете"/>
            <a:extLst>
              <a:ext uri="{FF2B5EF4-FFF2-40B4-BE49-F238E27FC236}">
                <a16:creationId xmlns:a16="http://schemas.microsoft.com/office/drawing/2014/main" id="{BD8D1C8C-C851-4E89-B50B-1901F47631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71931" y="4826719"/>
            <a:ext cx="492262" cy="3590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571931</xdr:colOff>
      <xdr:row>22</xdr:row>
      <xdr:rowOff>50146</xdr:rowOff>
    </xdr:from>
    <xdr:to>
      <xdr:col>1</xdr:col>
      <xdr:colOff>2619375</xdr:colOff>
      <xdr:row>24</xdr:row>
      <xdr:rowOff>33535</xdr:rowOff>
    </xdr:to>
    <xdr:grpSp>
      <xdr:nvGrpSpPr>
        <xdr:cNvPr id="5" name="Группа 4">
          <a:extLst>
            <a:ext uri="{FF2B5EF4-FFF2-40B4-BE49-F238E27FC236}">
              <a16:creationId xmlns:a16="http://schemas.microsoft.com/office/drawing/2014/main" id="{432B9DC1-07CB-4CB5-9408-142776FE3CE6}"/>
            </a:ext>
          </a:extLst>
        </xdr:cNvPr>
        <xdr:cNvGrpSpPr/>
      </xdr:nvGrpSpPr>
      <xdr:grpSpPr>
        <a:xfrm>
          <a:off x="571931" y="4812646"/>
          <a:ext cx="2895169" cy="364389"/>
          <a:chOff x="571931" y="5193646"/>
          <a:chExt cx="2895169" cy="364389"/>
        </a:xfrm>
      </xdr:grpSpPr>
      <xdr:sp macro="" textlink="">
        <xdr:nvSpPr>
          <xdr:cNvPr id="33" name="Шаг" descr="Гиперссылка на веб-страницу о функции МАКС&#10;">
            <a:hlinkClick xmlns:r="http://schemas.openxmlformats.org/officeDocument/2006/relationships" r:id="rId4" tooltip="Подробные сведения о функции МАКС в Интернете"/>
            <a:extLst>
              <a:ext uri="{FF2B5EF4-FFF2-40B4-BE49-F238E27FC236}">
                <a16:creationId xmlns:a16="http://schemas.microsoft.com/office/drawing/2014/main" id="{118881C9-E273-4528-B2BB-EADC59D4FCD0}"/>
              </a:ext>
            </a:extLst>
          </xdr:cNvPr>
          <xdr:cNvSpPr txBox="1"/>
        </xdr:nvSpPr>
        <xdr:spPr>
          <a:xfrm>
            <a:off x="1037116" y="5278961"/>
            <a:ext cx="2429984" cy="2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МАКС</a:t>
            </a:r>
          </a:p>
        </xdr:txBody>
      </xdr:sp>
      <xdr:pic>
        <xdr:nvPicPr>
          <xdr:cNvPr id="34" name="Графический объект 22" descr="Стрелка">
            <a:hlinkClick xmlns:r="http://schemas.openxmlformats.org/officeDocument/2006/relationships" r:id="rId4" tooltip="Дополнительные сведения в Интернете"/>
            <a:extLst>
              <a:ext uri="{FF2B5EF4-FFF2-40B4-BE49-F238E27FC236}">
                <a16:creationId xmlns:a16="http://schemas.microsoft.com/office/drawing/2014/main" id="{1814A5AC-5DA3-4400-8D7C-01E449AEA3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71931" y="5193646"/>
            <a:ext cx="492262" cy="36438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584540</xdr:colOff>
      <xdr:row>24</xdr:row>
      <xdr:rowOff>89203</xdr:rowOff>
    </xdr:from>
    <xdr:to>
      <xdr:col>1</xdr:col>
      <xdr:colOff>3162300</xdr:colOff>
      <xdr:row>26</xdr:row>
      <xdr:rowOff>72592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742226DB-497C-49F5-B244-A06F92B322A2}"/>
            </a:ext>
          </a:extLst>
        </xdr:cNvPr>
        <xdr:cNvGrpSpPr/>
      </xdr:nvGrpSpPr>
      <xdr:grpSpPr>
        <a:xfrm>
          <a:off x="584540" y="5232703"/>
          <a:ext cx="3425485" cy="364389"/>
          <a:chOff x="584540" y="5613703"/>
          <a:chExt cx="3425485" cy="364389"/>
        </a:xfrm>
      </xdr:grpSpPr>
      <xdr:sp macro="" textlink="">
        <xdr:nvSpPr>
          <xdr:cNvPr id="37" name="Шаг" descr="Гиперссылка на бесплатные учебные веб-курсы по Excel&#10;">
            <a:hlinkClick xmlns:r="http://schemas.openxmlformats.org/officeDocument/2006/relationships" r:id="rId5" tooltip="Сведения о бесплатных учебных веб-курсах по Excel"/>
            <a:extLst>
              <a:ext uri="{FF2B5EF4-FFF2-40B4-BE49-F238E27FC236}">
                <a16:creationId xmlns:a16="http://schemas.microsoft.com/office/drawing/2014/main" id="{F83437F7-466E-4778-8A80-A19AB367662B}"/>
              </a:ext>
            </a:extLst>
          </xdr:cNvPr>
          <xdr:cNvSpPr txBox="1"/>
        </xdr:nvSpPr>
        <xdr:spPr>
          <a:xfrm>
            <a:off x="1049724" y="5636232"/>
            <a:ext cx="2960301" cy="248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Бесплатные учебные веб-курсы по Excel</a:t>
            </a:r>
          </a:p>
        </xdr:txBody>
      </xdr:sp>
      <xdr:pic>
        <xdr:nvPicPr>
          <xdr:cNvPr id="38" name="Графический объект 22" descr="Стрелка">
            <a:hlinkClick xmlns:r="http://schemas.openxmlformats.org/officeDocument/2006/relationships" r:id="rId5" tooltip="Дополнительные сведения в Интернете"/>
            <a:extLst>
              <a:ext uri="{FF2B5EF4-FFF2-40B4-BE49-F238E27FC236}">
                <a16:creationId xmlns:a16="http://schemas.microsoft.com/office/drawing/2014/main" id="{9D17680E-9B5E-477A-95F3-62B379C82E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84540" y="5613703"/>
            <a:ext cx="492262" cy="36438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476259</xdr:colOff>
      <xdr:row>15</xdr:row>
      <xdr:rowOff>154517</xdr:rowOff>
    </xdr:from>
    <xdr:to>
      <xdr:col>7</xdr:col>
      <xdr:colOff>552456</xdr:colOff>
      <xdr:row>25</xdr:row>
      <xdr:rowOff>96715</xdr:rowOff>
    </xdr:to>
    <xdr:grpSp>
      <xdr:nvGrpSpPr>
        <xdr:cNvPr id="39" name="ПОЛЕЗНЫЕ СВЕДЕНИЯ" descr="ПОЛЕЗНЫЕ СВЕДЕНИЯ&#10;&#10;">
          <a:extLst>
            <a:ext uri="{FF2B5EF4-FFF2-40B4-BE49-F238E27FC236}">
              <a16:creationId xmlns:a16="http://schemas.microsoft.com/office/drawing/2014/main" id="{1617705E-A557-408B-AB54-5DBE8291A7F8}"/>
            </a:ext>
          </a:extLst>
        </xdr:cNvPr>
        <xdr:cNvGrpSpPr/>
      </xdr:nvGrpSpPr>
      <xdr:grpSpPr>
        <a:xfrm>
          <a:off x="8610609" y="3583517"/>
          <a:ext cx="4086222" cy="1847198"/>
          <a:chOff x="6149633" y="15516794"/>
          <a:chExt cx="4216232" cy="1774256"/>
        </a:xfrm>
      </xdr:grpSpPr>
      <xdr:sp macro="" textlink="">
        <xdr:nvSpPr>
          <xdr:cNvPr id="40" name="Шаг" descr="ПОЛЕЗНЫЕ СВЕДЕНИЯ&#10;Функцию МИН или МАКС можно использовать с несколькими диапазонами или значениями, например =МИН(A1:A10;B1:B10) или =МАКС(A1:A10;B1). В последней формуле B1 является пороговым значением, то есть формула никогда не выводит результат меньше B1.&#10;&#10;">
            <a:extLst>
              <a:ext uri="{FF2B5EF4-FFF2-40B4-BE49-F238E27FC236}">
                <a16:creationId xmlns:a16="http://schemas.microsoft.com/office/drawing/2014/main" id="{DA9CF6DC-C185-4A57-82E2-BEDA961A6793}"/>
              </a:ext>
            </a:extLst>
          </xdr:cNvPr>
          <xdr:cNvSpPr txBox="1"/>
        </xdr:nvSpPr>
        <xdr:spPr>
          <a:xfrm>
            <a:off x="6413963" y="15665450"/>
            <a:ext cx="3951902" cy="1625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ПОЛЕЗНЫЕ СВЕДЕНИЯ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Функцию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МИН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или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МАКС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можно использовать с несколькими диапазонами или значениями, например =МИН(A1:A10;B1:B10) или =МАКС(A1:A10;B1). В последней формуле B1 является пороговым значением, то есть формула никогда не выводит результат меньше B1.</a:t>
            </a:r>
            <a:endParaRPr lang="en-US" sz="1100">
              <a:effectLst/>
              <a:latin typeface="+mn-lt"/>
            </a:endParaRPr>
          </a:p>
        </xdr:txBody>
      </xdr:sp>
      <xdr:pic>
        <xdr:nvPicPr>
          <xdr:cNvPr id="41" name="Графический объект 147" descr="Очки">
            <a:extLst>
              <a:ext uri="{FF2B5EF4-FFF2-40B4-BE49-F238E27FC236}">
                <a16:creationId xmlns:a16="http://schemas.microsoft.com/office/drawing/2014/main" id="{0C5E1E53-3B3A-45B8-9A4D-A647A2A4A5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149633" y="15628855"/>
            <a:ext cx="323347" cy="349115"/>
          </a:xfrm>
          <a:prstGeom prst="rect">
            <a:avLst/>
          </a:prstGeom>
        </xdr:spPr>
      </xdr:pic>
      <xdr:sp macro="" textlink="">
        <xdr:nvSpPr>
          <xdr:cNvPr id="42" name="Полилиния: фигура 41" descr="Стрелка">
            <a:extLst>
              <a:ext uri="{FF2B5EF4-FFF2-40B4-BE49-F238E27FC236}">
                <a16:creationId xmlns:a16="http://schemas.microsoft.com/office/drawing/2014/main" id="{BD5A064F-A80A-499D-92F8-64D2BEDF69F1}"/>
              </a:ext>
            </a:extLst>
          </xdr:cNvPr>
          <xdr:cNvSpPr/>
        </xdr:nvSpPr>
        <xdr:spPr>
          <a:xfrm rot="5953034" flipV="1">
            <a:off x="8566357" y="15008752"/>
            <a:ext cx="284005" cy="1300089"/>
          </a:xfrm>
          <a:custGeom>
            <a:avLst/>
            <a:gdLst>
              <a:gd name="connsiteX0" fmla="*/ 279015 w 279015"/>
              <a:gd name="connsiteY0" fmla="*/ 99249 h 1391008"/>
              <a:gd name="connsiteX1" fmla="*/ 134697 w 279015"/>
              <a:gd name="connsiteY1" fmla="*/ 118492 h 1391008"/>
              <a:gd name="connsiteX2" fmla="*/ 211667 w 279015"/>
              <a:gd name="connsiteY2" fmla="*/ 1282658 h 1391008"/>
              <a:gd name="connsiteX3" fmla="*/ 0 w 279015"/>
              <a:gd name="connsiteY3" fmla="*/ 1340386 h 1391008"/>
              <a:gd name="connsiteX4" fmla="*/ 0 w 279015"/>
              <a:gd name="connsiteY4" fmla="*/ 1340386 h 1391008"/>
              <a:gd name="connsiteX0" fmla="*/ 279015 w 279015"/>
              <a:gd name="connsiteY0" fmla="*/ 32141 h 1310271"/>
              <a:gd name="connsiteX1" fmla="*/ 152422 w 279015"/>
              <a:gd name="connsiteY1" fmla="*/ 244286 h 1310271"/>
              <a:gd name="connsiteX2" fmla="*/ 211667 w 279015"/>
              <a:gd name="connsiteY2" fmla="*/ 1215550 h 1310271"/>
              <a:gd name="connsiteX3" fmla="*/ 0 w 279015"/>
              <a:gd name="connsiteY3" fmla="*/ 1273278 h 1310271"/>
              <a:gd name="connsiteX4" fmla="*/ 0 w 279015"/>
              <a:gd name="connsiteY4" fmla="*/ 1273278 h 1310271"/>
              <a:gd name="connsiteX0" fmla="*/ 279015 w 279015"/>
              <a:gd name="connsiteY0" fmla="*/ 2960 h 1281090"/>
              <a:gd name="connsiteX1" fmla="*/ 152422 w 279015"/>
              <a:gd name="connsiteY1" fmla="*/ 215105 h 1281090"/>
              <a:gd name="connsiteX2" fmla="*/ 211667 w 279015"/>
              <a:gd name="connsiteY2" fmla="*/ 1186369 h 1281090"/>
              <a:gd name="connsiteX3" fmla="*/ 0 w 279015"/>
              <a:gd name="connsiteY3" fmla="*/ 1244097 h 1281090"/>
              <a:gd name="connsiteX4" fmla="*/ 0 w 279015"/>
              <a:gd name="connsiteY4" fmla="*/ 1244097 h 12810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79015" h="1281090">
                <a:moveTo>
                  <a:pt x="279015" y="2960"/>
                </a:moveTo>
                <a:cubicBezTo>
                  <a:pt x="162617" y="-10856"/>
                  <a:pt x="163647" y="17870"/>
                  <a:pt x="152422" y="215105"/>
                </a:cubicBezTo>
                <a:cubicBezTo>
                  <a:pt x="141197" y="412340"/>
                  <a:pt x="237071" y="1014870"/>
                  <a:pt x="211667" y="1186369"/>
                </a:cubicBezTo>
                <a:cubicBezTo>
                  <a:pt x="186263" y="1357868"/>
                  <a:pt x="0" y="1244097"/>
                  <a:pt x="0" y="1244097"/>
                </a:cubicBezTo>
                <a:lnTo>
                  <a:pt x="0" y="1244097"/>
                </a:ln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triangl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  <xdr:absoluteAnchor>
    <xdr:pos x="561975" y="3267075"/>
    <xdr:ext cx="1275170" cy="335449"/>
    <xdr:sp macro="" textlink="">
      <xdr:nvSpPr>
        <xdr:cNvPr id="43" name="Кнопка«Назад»" descr="Вернуться на предыдущий лист">
          <a:hlinkClick xmlns:r="http://schemas.openxmlformats.org/officeDocument/2006/relationships" r:id="rId8" tooltip="Щелкните здесь, чтобы вернуться на предыдущий лист"/>
          <a:extLst>
            <a:ext uri="{FF2B5EF4-FFF2-40B4-BE49-F238E27FC236}">
              <a16:creationId xmlns:a16="http://schemas.microsoft.com/office/drawing/2014/main" id="{4A8A6AC5-39D2-478E-BABC-4FA14FC159F7}"/>
            </a:ext>
          </a:extLst>
        </xdr:cNvPr>
        <xdr:cNvSpPr/>
      </xdr:nvSpPr>
      <xdr:spPr>
        <a:xfrm flipH="1">
          <a:off x="561975" y="3267075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absoluteAnchor>
  <xdr:absoluteAnchor>
    <xdr:pos x="4484736" y="3267075"/>
    <xdr:ext cx="1275170" cy="335449"/>
    <xdr:sp macro="" textlink="">
      <xdr:nvSpPr>
        <xdr:cNvPr id="44" name="Кнопка«Далее»" descr="Перейти к следующему листу">
          <a:hlinkClick xmlns:r="http://schemas.openxmlformats.org/officeDocument/2006/relationships" r:id="rId9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B091AE1C-BD6E-4F50-9366-449007968A7F}"/>
            </a:ext>
          </a:extLst>
        </xdr:cNvPr>
        <xdr:cNvSpPr/>
      </xdr:nvSpPr>
      <xdr:spPr>
        <a:xfrm>
          <a:off x="4484736" y="3267075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absoluteAnchor>
  <xdr:twoCellAnchor>
    <xdr:from>
      <xdr:col>0</xdr:col>
      <xdr:colOff>554805</xdr:colOff>
      <xdr:row>1</xdr:row>
      <xdr:rowOff>85725</xdr:rowOff>
    </xdr:from>
    <xdr:to>
      <xdr:col>1</xdr:col>
      <xdr:colOff>4903020</xdr:colOff>
      <xdr:row>1</xdr:row>
      <xdr:rowOff>85725</xdr:rowOff>
    </xdr:to>
    <xdr:cxnSp macro="">
      <xdr:nvCxnSpPr>
        <xdr:cNvPr id="45" name="Нижняя линия" descr="Декоративная линия">
          <a:extLst>
            <a:ext uri="{FF2B5EF4-FFF2-40B4-BE49-F238E27FC236}">
              <a16:creationId xmlns:a16="http://schemas.microsoft.com/office/drawing/2014/main" id="{FAE27880-D0A9-496B-B9C4-3BA9C49EA05F}"/>
            </a:ext>
          </a:extLst>
        </xdr:cNvPr>
        <xdr:cNvCxnSpPr>
          <a:cxnSpLocks/>
        </xdr:cNvCxnSpPr>
      </xdr:nvCxnSpPr>
      <xdr:spPr>
        <a:xfrm>
          <a:off x="554805" y="847725"/>
          <a:ext cx="5195940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95250</xdr:colOff>
      <xdr:row>11</xdr:row>
      <xdr:rowOff>103516</xdr:rowOff>
    </xdr:from>
    <xdr:ext cx="3600450" cy="1991982"/>
    <xdr:grpSp>
      <xdr:nvGrpSpPr>
        <xdr:cNvPr id="110" name="ПОЛЕЗНЫЕ СВЕДЕНИЯ" descr="ПОЛЕЗНЫЕ СВЕДЕНИЯ&#10;Excel хранит даты в виде количества дней, прошедших с 1 января 1900 г. Значения времени переводятся в минуты и хранятся как дробные части дня.&#10;&#10;Например, значение 12:30 01.01.2017 хранится как 42736,5208.&#10;&#10;">
          <a:extLst>
            <a:ext uri="{FF2B5EF4-FFF2-40B4-BE49-F238E27FC236}">
              <a16:creationId xmlns:a16="http://schemas.microsoft.com/office/drawing/2014/main" id="{5FD1EED7-BA78-459D-8631-C577BE6708FF}"/>
            </a:ext>
          </a:extLst>
        </xdr:cNvPr>
        <xdr:cNvGrpSpPr/>
      </xdr:nvGrpSpPr>
      <xdr:grpSpPr>
        <a:xfrm>
          <a:off x="6467475" y="3094366"/>
          <a:ext cx="3600450" cy="1991982"/>
          <a:chOff x="6778625" y="15449519"/>
          <a:chExt cx="3432175" cy="1913324"/>
        </a:xfrm>
      </xdr:grpSpPr>
      <xdr:sp macro="" textlink="">
        <xdr:nvSpPr>
          <xdr:cNvPr id="111" name="Шаг" descr="ПОЛЕЗНЫЕ СВЕДЕНИЯ&#10;Excel хранит даты в виде количества дней, прошедших с 1 января 1900 г. Значения времени переводятся в минуты и хранятся как дробные части дня. Например, значение 12:30 01.01.2017 хранится как 42736,5208. Если значения времени или даты отображаются в виде таких чисел, вы можете нажать клавиши CTRL+1 и на вкладке Число выбрать формат «Дата» или «Время». &#10;&#10;">
            <a:extLst>
              <a:ext uri="{FF2B5EF4-FFF2-40B4-BE49-F238E27FC236}">
                <a16:creationId xmlns:a16="http://schemas.microsoft.com/office/drawing/2014/main" id="{7BF2997B-A0C3-4169-8E09-CA4590DE712A}"/>
              </a:ext>
            </a:extLst>
          </xdr:cNvPr>
          <xdr:cNvSpPr txBox="1"/>
        </xdr:nvSpPr>
        <xdr:spPr>
          <a:xfrm>
            <a:off x="7042958" y="15665450"/>
            <a:ext cx="3167842" cy="16973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ПОЛЕЗНЫЕ СВЕДЕНИЯ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Excel хранит даты в виде количества дней, прошедших с 1 января 1900 г. Значения времени переводятся в минуты и хранятся как дробные части дня. Например, значение 12:30 01.01.2017 хранится как 42736,5208. Если значения времени или даты отображаются в виде таких чисел, вы можете нажать клавиши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CTRL+1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и на вкладке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Число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выбрать формат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Дата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или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Время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. </a:t>
            </a:r>
            <a:endParaRPr lang="en-US" sz="1100">
              <a:effectLst/>
              <a:latin typeface="+mn-lt"/>
            </a:endParaRPr>
          </a:p>
        </xdr:txBody>
      </xdr:sp>
      <xdr:pic>
        <xdr:nvPicPr>
          <xdr:cNvPr id="112" name="Графический объект 147" descr="Очки">
            <a:extLst>
              <a:ext uri="{FF2B5EF4-FFF2-40B4-BE49-F238E27FC236}">
                <a16:creationId xmlns:a16="http://schemas.microsoft.com/office/drawing/2014/main" id="{27B9B366-B86D-4174-92BE-C48629B241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78625" y="15619705"/>
            <a:ext cx="323347" cy="349115"/>
          </a:xfrm>
          <a:prstGeom prst="rect">
            <a:avLst/>
          </a:prstGeom>
        </xdr:spPr>
      </xdr:pic>
      <xdr:sp macro="" textlink="">
        <xdr:nvSpPr>
          <xdr:cNvPr id="113" name="Полилиния: фигура 112" descr="Стрелка">
            <a:extLst>
              <a:ext uri="{FF2B5EF4-FFF2-40B4-BE49-F238E27FC236}">
                <a16:creationId xmlns:a16="http://schemas.microsoft.com/office/drawing/2014/main" id="{70DF2B70-E9B4-4B83-9810-DBBCC80FDC11}"/>
              </a:ext>
            </a:extLst>
          </xdr:cNvPr>
          <xdr:cNvSpPr/>
        </xdr:nvSpPr>
        <xdr:spPr>
          <a:xfrm rot="5953034" flipV="1">
            <a:off x="8608964" y="15426786"/>
            <a:ext cx="284005" cy="329471"/>
          </a:xfrm>
          <a:custGeom>
            <a:avLst/>
            <a:gdLst>
              <a:gd name="connsiteX0" fmla="*/ 279015 w 279015"/>
              <a:gd name="connsiteY0" fmla="*/ 99249 h 1391008"/>
              <a:gd name="connsiteX1" fmla="*/ 134697 w 279015"/>
              <a:gd name="connsiteY1" fmla="*/ 118492 h 1391008"/>
              <a:gd name="connsiteX2" fmla="*/ 211667 w 279015"/>
              <a:gd name="connsiteY2" fmla="*/ 1282658 h 1391008"/>
              <a:gd name="connsiteX3" fmla="*/ 0 w 279015"/>
              <a:gd name="connsiteY3" fmla="*/ 1340386 h 1391008"/>
              <a:gd name="connsiteX4" fmla="*/ 0 w 279015"/>
              <a:gd name="connsiteY4" fmla="*/ 1340386 h 1391008"/>
              <a:gd name="connsiteX0" fmla="*/ 279015 w 279015"/>
              <a:gd name="connsiteY0" fmla="*/ 32141 h 1310271"/>
              <a:gd name="connsiteX1" fmla="*/ 152422 w 279015"/>
              <a:gd name="connsiteY1" fmla="*/ 244286 h 1310271"/>
              <a:gd name="connsiteX2" fmla="*/ 211667 w 279015"/>
              <a:gd name="connsiteY2" fmla="*/ 1215550 h 1310271"/>
              <a:gd name="connsiteX3" fmla="*/ 0 w 279015"/>
              <a:gd name="connsiteY3" fmla="*/ 1273278 h 1310271"/>
              <a:gd name="connsiteX4" fmla="*/ 0 w 279015"/>
              <a:gd name="connsiteY4" fmla="*/ 1273278 h 1310271"/>
              <a:gd name="connsiteX0" fmla="*/ 279015 w 279015"/>
              <a:gd name="connsiteY0" fmla="*/ 2960 h 1281090"/>
              <a:gd name="connsiteX1" fmla="*/ 152422 w 279015"/>
              <a:gd name="connsiteY1" fmla="*/ 215105 h 1281090"/>
              <a:gd name="connsiteX2" fmla="*/ 211667 w 279015"/>
              <a:gd name="connsiteY2" fmla="*/ 1186369 h 1281090"/>
              <a:gd name="connsiteX3" fmla="*/ 0 w 279015"/>
              <a:gd name="connsiteY3" fmla="*/ 1244097 h 1281090"/>
              <a:gd name="connsiteX4" fmla="*/ 0 w 279015"/>
              <a:gd name="connsiteY4" fmla="*/ 1244097 h 12810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79015" h="1281090">
                <a:moveTo>
                  <a:pt x="279015" y="2960"/>
                </a:moveTo>
                <a:cubicBezTo>
                  <a:pt x="162617" y="-10856"/>
                  <a:pt x="163647" y="17870"/>
                  <a:pt x="152422" y="215105"/>
                </a:cubicBezTo>
                <a:cubicBezTo>
                  <a:pt x="141197" y="412340"/>
                  <a:pt x="237071" y="1014870"/>
                  <a:pt x="211667" y="1186369"/>
                </a:cubicBezTo>
                <a:cubicBezTo>
                  <a:pt x="186263" y="1357868"/>
                  <a:pt x="0" y="1244097"/>
                  <a:pt x="0" y="1244097"/>
                </a:cubicBezTo>
                <a:lnTo>
                  <a:pt x="0" y="1244097"/>
                </a:ln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triangl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oneCellAnchor>
  <xdr:twoCellAnchor>
    <xdr:from>
      <xdr:col>0</xdr:col>
      <xdr:colOff>342900</xdr:colOff>
      <xdr:row>0</xdr:row>
      <xdr:rowOff>352425</xdr:rowOff>
    </xdr:from>
    <xdr:to>
      <xdr:col>1</xdr:col>
      <xdr:colOff>5229225</xdr:colOff>
      <xdr:row>19</xdr:row>
      <xdr:rowOff>58050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9EC07B18-6CCC-4D21-8D16-EAC636990ABB}"/>
            </a:ext>
          </a:extLst>
        </xdr:cNvPr>
        <xdr:cNvGrpSpPr/>
      </xdr:nvGrpSpPr>
      <xdr:grpSpPr>
        <a:xfrm>
          <a:off x="342900" y="352425"/>
          <a:ext cx="5734050" cy="4230000"/>
          <a:chOff x="342900" y="352425"/>
          <a:chExt cx="5734050" cy="4230000"/>
        </a:xfrm>
      </xdr:grpSpPr>
      <xdr:sp macro="" textlink="">
        <xdr:nvSpPr>
          <xdr:cNvPr id="88" name="текст_ФонКурса" descr="Фон">
            <a:extLst>
              <a:ext uri="{FF2B5EF4-FFF2-40B4-BE49-F238E27FC236}">
                <a16:creationId xmlns:a16="http://schemas.microsoft.com/office/drawing/2014/main" id="{1B9F331C-35CF-445A-B76D-D6E6332E2CF5}"/>
              </a:ext>
            </a:extLst>
          </xdr:cNvPr>
          <xdr:cNvSpPr/>
        </xdr:nvSpPr>
        <xdr:spPr>
          <a:xfrm>
            <a:off x="342900" y="352425"/>
            <a:ext cx="5734050" cy="4230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220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97" name="текст_ЗаголовокКурса" descr="Функции даты">
            <a:extLst>
              <a:ext uri="{FF2B5EF4-FFF2-40B4-BE49-F238E27FC236}">
                <a16:creationId xmlns:a16="http://schemas.microsoft.com/office/drawing/2014/main" id="{1EE65C32-27B1-48DD-9EA0-C5AF4DDF9DA1}"/>
              </a:ext>
            </a:extLst>
          </xdr:cNvPr>
          <xdr:cNvSpPr txBox="1"/>
        </xdr:nvSpPr>
        <xdr:spPr>
          <a:xfrm>
            <a:off x="546103" y="446746"/>
            <a:ext cx="5251444" cy="4811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Функции даты</a:t>
            </a:r>
            <a:endParaRPr kumimoji="0" lang="en-US" sz="22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ourier New" panose="02070309020205020404" pitchFamily="49" charset="0"/>
              <a:ea typeface="Segoe UI" pitchFamily="34" charset="0"/>
              <a:cs typeface="Courier New" panose="02070309020205020404" pitchFamily="49" charset="0"/>
            </a:endParaRPr>
          </a:p>
        </xdr:txBody>
      </xdr:sp>
      <xdr:cxnSp macro="">
        <xdr:nvCxnSpPr>
          <xdr:cNvPr id="98" name="текст_Курсстрока1" descr="Декоративная линия">
            <a:extLst>
              <a:ext uri="{FF2B5EF4-FFF2-40B4-BE49-F238E27FC236}">
                <a16:creationId xmlns:a16="http://schemas.microsoft.com/office/drawing/2014/main" id="{EC0E883E-105A-4156-A84D-D7E17410FCE4}"/>
              </a:ext>
            </a:extLst>
          </xdr:cNvPr>
          <xdr:cNvCxnSpPr>
            <a:cxnSpLocks/>
          </xdr:cNvCxnSpPr>
        </xdr:nvCxnSpPr>
        <xdr:spPr>
          <a:xfrm>
            <a:off x="546103" y="1012677"/>
            <a:ext cx="52482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текст_Курсстрока2" descr="Декоративная линия">
            <a:extLst>
              <a:ext uri="{FF2B5EF4-FFF2-40B4-BE49-F238E27FC236}">
                <a16:creationId xmlns:a16="http://schemas.microsoft.com/office/drawing/2014/main" id="{A8B37EE1-E313-4FB9-9B34-9B560124860A}"/>
              </a:ext>
            </a:extLst>
          </xdr:cNvPr>
          <xdr:cNvCxnSpPr>
            <a:cxnSpLocks/>
          </xdr:cNvCxnSpPr>
        </xdr:nvCxnSpPr>
        <xdr:spPr>
          <a:xfrm>
            <a:off x="546103" y="4376727"/>
            <a:ext cx="52482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4" name="текст_КурсВведение" descr="Excel может вывести текущую дату с учетом региональных параметров компьютера. Кроме того, он может складывать и вычитать даты.&#10;">
            <a:extLst>
              <a:ext uri="{FF2B5EF4-FFF2-40B4-BE49-F238E27FC236}">
                <a16:creationId xmlns:a16="http://schemas.microsoft.com/office/drawing/2014/main" id="{1CD4C115-CC7A-486C-867C-2FDD553B15B7}"/>
              </a:ext>
            </a:extLst>
          </xdr:cNvPr>
          <xdr:cNvSpPr txBox="1"/>
        </xdr:nvSpPr>
        <xdr:spPr>
          <a:xfrm>
            <a:off x="581188" y="1045767"/>
            <a:ext cx="5251444" cy="4811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Excel может вывести текущую дату с учетом региональных параметров компьютера. Кроме того, он может складывать и вычитать даты.</a:t>
            </a:r>
          </a:p>
        </xdr:txBody>
      </xdr:sp>
      <xdr:grpSp>
        <xdr:nvGrpSpPr>
          <xdr:cNvPr id="105" name="группа_Шаг">
            <a:extLst>
              <a:ext uri="{FF2B5EF4-FFF2-40B4-BE49-F238E27FC236}">
                <a16:creationId xmlns:a16="http://schemas.microsoft.com/office/drawing/2014/main" id="{06FF7E03-9CF3-4BF2-97FA-A9B470E37530}"/>
              </a:ext>
            </a:extLst>
          </xdr:cNvPr>
          <xdr:cNvGrpSpPr/>
        </xdr:nvGrpSpPr>
        <xdr:grpSpPr>
          <a:xfrm>
            <a:off x="561975" y="1578609"/>
            <a:ext cx="5467350" cy="716919"/>
            <a:chOff x="600549" y="7810500"/>
            <a:chExt cx="5195285" cy="723975"/>
          </a:xfrm>
        </xdr:grpSpPr>
        <xdr:sp macro="" textlink="">
          <xdr:nvSpPr>
            <xdr:cNvPr id="106" name="текст_Шаг" descr="Попробуйте использовать функцию СЕГОДНЯ, которая выводит сегодняшнюю дату. Это динамическая функция, поэтому если вы откроете книгу завтра, дата изменится. Введите =СЕГОДНЯ() в ячейку D6. &#10;&#10;">
              <a:extLst>
                <a:ext uri="{FF2B5EF4-FFF2-40B4-BE49-F238E27FC236}">
                  <a16:creationId xmlns:a16="http://schemas.microsoft.com/office/drawing/2014/main" id="{2869B18E-B13C-49FB-B4C9-A2A2A69C0D27}"/>
                </a:ext>
              </a:extLst>
            </xdr:cNvPr>
            <xdr:cNvSpPr txBox="1"/>
          </xdr:nvSpPr>
          <xdr:spPr>
            <a:xfrm>
              <a:off x="1017295" y="7852458"/>
              <a:ext cx="4778539" cy="6820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Попробуйте использовать функцию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СЕГОДНЯ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 которая выводит сегодняшнюю дату. Это динамическая функция, поэтому если вы откроете книгу завтра, дата изменится. Введите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=СЕГОДНЯ()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в ячейку D6. 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107" name="фигура_Шаг" descr="1">
              <a:extLst>
                <a:ext uri="{FF2B5EF4-FFF2-40B4-BE49-F238E27FC236}">
                  <a16:creationId xmlns:a16="http://schemas.microsoft.com/office/drawing/2014/main" id="{DAFBA7DB-90FE-4D29-BEDA-99F5C45CAE41}"/>
                </a:ext>
              </a:extLst>
            </xdr:cNvPr>
            <xdr:cNvSpPr/>
          </xdr:nvSpPr>
          <xdr:spPr>
            <a:xfrm>
              <a:off x="600549" y="7810500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1</a:t>
              </a:r>
            </a:p>
          </xdr:txBody>
        </xdr:sp>
      </xdr:grpSp>
      <xdr:grpSp>
        <xdr:nvGrpSpPr>
          <xdr:cNvPr id="114" name="группа_Шаг" descr="Вычитание дат: введите свой следующий день рождения в формате дд.мм.гг, и Excel подсчитает, сколько дней до него осталось, с помощью формулы = D7-D6.&#10;">
            <a:extLst>
              <a:ext uri="{FF2B5EF4-FFF2-40B4-BE49-F238E27FC236}">
                <a16:creationId xmlns:a16="http://schemas.microsoft.com/office/drawing/2014/main" id="{8949AC7E-881F-4686-B2D3-0D3D90D9B1DC}"/>
              </a:ext>
            </a:extLst>
          </xdr:cNvPr>
          <xdr:cNvGrpSpPr/>
        </xdr:nvGrpSpPr>
        <xdr:grpSpPr>
          <a:xfrm>
            <a:off x="561975" y="2409828"/>
            <a:ext cx="5448300" cy="695319"/>
            <a:chOff x="609600" y="7810501"/>
            <a:chExt cx="5186234" cy="673790"/>
          </a:xfrm>
        </xdr:grpSpPr>
        <xdr:sp macro="" textlink="">
          <xdr:nvSpPr>
            <xdr:cNvPr id="115" name="текст_Шаг" descr="Вычитание дат: введите в ячейку D7 свой следующий день рождения в формате дд.мм.гг, и Excel подсчитает в ячейке D8, сколько дней до него осталось, с помощью формулы = D7-D6.&#10;&#10;">
              <a:extLst>
                <a:ext uri="{FF2B5EF4-FFF2-40B4-BE49-F238E27FC236}">
                  <a16:creationId xmlns:a16="http://schemas.microsoft.com/office/drawing/2014/main" id="{674AF6D9-AA9C-4D64-BAE7-B4CD50116B71}"/>
                </a:ext>
              </a:extLst>
            </xdr:cNvPr>
            <xdr:cNvSpPr txBox="1"/>
          </xdr:nvSpPr>
          <xdr:spPr>
            <a:xfrm>
              <a:off x="1017295" y="7852454"/>
              <a:ext cx="4778539" cy="6318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Вычитание дат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: введите в ячейку D7 свой следующий день рождения в формате дд.мм.гг, и Excel подсчитает в ячейке D8, сколько дней до него осталось, с помощью формулы =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D7-D6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116" name="фигура_Шаг" descr="2">
              <a:extLst>
                <a:ext uri="{FF2B5EF4-FFF2-40B4-BE49-F238E27FC236}">
                  <a16:creationId xmlns:a16="http://schemas.microsoft.com/office/drawing/2014/main" id="{E34DF662-0D83-4816-83DC-20F2E0EC0120}"/>
                </a:ext>
              </a:extLst>
            </xdr:cNvPr>
            <xdr:cNvSpPr/>
          </xdr:nvSpPr>
          <xdr:spPr>
            <a:xfrm>
              <a:off x="609600" y="7810501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2</a:t>
              </a:r>
            </a:p>
          </xdr:txBody>
        </xdr:sp>
      </xdr:grpSp>
      <xdr:grpSp>
        <xdr:nvGrpSpPr>
          <xdr:cNvPr id="117" name="группа_Шаг">
            <a:extLst>
              <a:ext uri="{FF2B5EF4-FFF2-40B4-BE49-F238E27FC236}">
                <a16:creationId xmlns:a16="http://schemas.microsoft.com/office/drawing/2014/main" id="{8475192F-E42A-4700-8E84-BC6112DACD7C}"/>
              </a:ext>
            </a:extLst>
          </xdr:cNvPr>
          <xdr:cNvGrpSpPr/>
        </xdr:nvGrpSpPr>
        <xdr:grpSpPr>
          <a:xfrm>
            <a:off x="561977" y="3200407"/>
            <a:ext cx="5457825" cy="1019166"/>
            <a:chOff x="627640" y="7988646"/>
            <a:chExt cx="5168194" cy="1003141"/>
          </a:xfrm>
        </xdr:grpSpPr>
        <xdr:sp macro="" textlink="">
          <xdr:nvSpPr>
            <xdr:cNvPr id="118" name="текст_Шаг" descr="Сложение дат: предположим, вы хотите узнать, когда следует оплатить счет или вернуть книгу в библиотеку. Для этого можно прибавить нужное количество дней к дате. В ячейке D10 введите какое-либо число дней. В ячейке D11 указана формула =D6+D10, которая рассчитывает срок начиная с текущей даты.&#10;&#10;">
              <a:extLst>
                <a:ext uri="{FF2B5EF4-FFF2-40B4-BE49-F238E27FC236}">
                  <a16:creationId xmlns:a16="http://schemas.microsoft.com/office/drawing/2014/main" id="{37BB0272-2987-4A11-B2B1-9F0CA7972BC1}"/>
                </a:ext>
              </a:extLst>
            </xdr:cNvPr>
            <xdr:cNvSpPr txBox="1"/>
          </xdr:nvSpPr>
          <xdr:spPr>
            <a:xfrm>
              <a:off x="1017295" y="8030597"/>
              <a:ext cx="4778539" cy="9611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Сложение дат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: предположим, вы хотите узнать, когда следует оплатить счет или вернуть книгу в библиотеку. Для этого можно прибавить нужное количество дней к дате. В ячейке D10 введите какое-либо число дней. В ячейке D11 указана формула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=D6+D10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 которая рассчитывает срок начиная с текущей даты.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119" name="фигура_Шаг" descr="3">
              <a:extLst>
                <a:ext uri="{FF2B5EF4-FFF2-40B4-BE49-F238E27FC236}">
                  <a16:creationId xmlns:a16="http://schemas.microsoft.com/office/drawing/2014/main" id="{824C0607-47BE-4C56-BBB4-6FA6522CE93B}"/>
                </a:ext>
              </a:extLst>
            </xdr:cNvPr>
            <xdr:cNvSpPr/>
          </xdr:nvSpPr>
          <xdr:spPr>
            <a:xfrm>
              <a:off x="627640" y="7988646"/>
              <a:ext cx="372191" cy="366865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3</a:t>
              </a:r>
            </a:p>
          </xdr:txBody>
        </xdr:sp>
      </xdr:grpSp>
    </xdr:grpSp>
    <xdr:clientData/>
  </xdr:twoCellAnchor>
  <xdr:twoCellAnchor>
    <xdr:from>
      <xdr:col>0</xdr:col>
      <xdr:colOff>342900</xdr:colOff>
      <xdr:row>19</xdr:row>
      <xdr:rowOff>171440</xdr:rowOff>
    </xdr:from>
    <xdr:to>
      <xdr:col>1</xdr:col>
      <xdr:colOff>5229225</xdr:colOff>
      <xdr:row>71</xdr:row>
      <xdr:rowOff>163339</xdr:rowOff>
    </xdr:to>
    <xdr:grpSp>
      <xdr:nvGrpSpPr>
        <xdr:cNvPr id="3" name="Группа 2">
          <a:extLst>
            <a:ext uri="{FF2B5EF4-FFF2-40B4-BE49-F238E27FC236}">
              <a16:creationId xmlns:a16="http://schemas.microsoft.com/office/drawing/2014/main" id="{1795FAE7-51BD-4A4A-B2DF-46B6749784D2}"/>
            </a:ext>
          </a:extLst>
        </xdr:cNvPr>
        <xdr:cNvGrpSpPr/>
      </xdr:nvGrpSpPr>
      <xdr:grpSpPr>
        <a:xfrm>
          <a:off x="342900" y="4695815"/>
          <a:ext cx="5734050" cy="9935999"/>
          <a:chOff x="342900" y="4248140"/>
          <a:chExt cx="5734050" cy="10216541"/>
        </a:xfrm>
      </xdr:grpSpPr>
      <xdr:grpSp>
        <xdr:nvGrpSpPr>
          <xdr:cNvPr id="120" name="Группа 119">
            <a:extLst>
              <a:ext uri="{FF2B5EF4-FFF2-40B4-BE49-F238E27FC236}">
                <a16:creationId xmlns:a16="http://schemas.microsoft.com/office/drawing/2014/main" id="{30906B4C-C81D-469A-8247-06F91D944EB2}"/>
              </a:ext>
            </a:extLst>
          </xdr:cNvPr>
          <xdr:cNvGrpSpPr/>
        </xdr:nvGrpSpPr>
        <xdr:grpSpPr>
          <a:xfrm>
            <a:off x="342900" y="4248140"/>
            <a:ext cx="5734050" cy="10216541"/>
            <a:chOff x="352425" y="4591040"/>
            <a:chExt cx="5734050" cy="9795716"/>
          </a:xfrm>
        </xdr:grpSpPr>
        <xdr:sp macro="" textlink="">
          <xdr:nvSpPr>
            <xdr:cNvPr id="121" name="текст_ФонКурса" descr="Фон">
              <a:extLst>
                <a:ext uri="{FF2B5EF4-FFF2-40B4-BE49-F238E27FC236}">
                  <a16:creationId xmlns:a16="http://schemas.microsoft.com/office/drawing/2014/main" id="{013EE55B-07EC-4D50-A659-7ADD2D0198D2}"/>
                </a:ext>
              </a:extLst>
            </xdr:cNvPr>
            <xdr:cNvSpPr/>
          </xdr:nvSpPr>
          <xdr:spPr>
            <a:xfrm>
              <a:off x="352425" y="4591040"/>
              <a:ext cx="5734050" cy="9795716"/>
            </a:xfrm>
            <a:prstGeom prst="rect">
              <a:avLst/>
            </a:prstGeom>
            <a:solidFill>
              <a:srgbClr val="F5F5F5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endParaRPr lang="en-US" sz="2200">
                <a:solidFill>
                  <a:sysClr val="windowText" lastClr="000000"/>
                </a:solidFill>
                <a:latin typeface="Segoe UI Light" panose="020B0502040204020203" pitchFamily="34" charset="0"/>
                <a:cs typeface="Segoe UI Light" panose="020B0502040204020203" pitchFamily="34" charset="0"/>
              </a:endParaRPr>
            </a:p>
          </xdr:txBody>
        </xdr:sp>
        <xdr:sp macro="" textlink="">
          <xdr:nvSpPr>
            <xdr:cNvPr id="122" name="текст_ЗаголовокКурса" descr="Функции времени">
              <a:extLst>
                <a:ext uri="{FF2B5EF4-FFF2-40B4-BE49-F238E27FC236}">
                  <a16:creationId xmlns:a16="http://schemas.microsoft.com/office/drawing/2014/main" id="{E209722A-2C8C-4791-B9C1-5101AA32AB0A}"/>
                </a:ext>
              </a:extLst>
            </xdr:cNvPr>
            <xdr:cNvSpPr txBox="1"/>
          </xdr:nvSpPr>
          <xdr:spPr>
            <a:xfrm>
              <a:off x="589309" y="4691062"/>
              <a:ext cx="5222183" cy="480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rIns="0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22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 Light" panose="020B0502040204020203" pitchFamily="34" charset="0"/>
                  <a:ea typeface="Segoe UI" pitchFamily="34" charset="0"/>
                  <a:cs typeface="Segoe UI Light" panose="020B0502040204020203" pitchFamily="34" charset="0"/>
                </a:rPr>
                <a:t>Функции времени</a:t>
              </a:r>
            </a:p>
          </xdr:txBody>
        </xdr:sp>
        <xdr:cxnSp macro="">
          <xdr:nvCxnSpPr>
            <xdr:cNvPr id="123" name="текст_Курсстрока1" descr="Декоративная линия">
              <a:extLst>
                <a:ext uri="{FF2B5EF4-FFF2-40B4-BE49-F238E27FC236}">
                  <a16:creationId xmlns:a16="http://schemas.microsoft.com/office/drawing/2014/main" id="{75A87590-4FA0-4D28-B7A3-E1F7CCD88B3B}"/>
                </a:ext>
              </a:extLst>
            </xdr:cNvPr>
            <xdr:cNvCxnSpPr>
              <a:cxnSpLocks/>
            </xdr:cNvCxnSpPr>
          </xdr:nvCxnSpPr>
          <xdr:spPr>
            <a:xfrm>
              <a:off x="589309" y="5262563"/>
              <a:ext cx="5218793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4" name="текст_Курсстрока2" descr="Декоративная линия">
              <a:extLst>
                <a:ext uri="{FF2B5EF4-FFF2-40B4-BE49-F238E27FC236}">
                  <a16:creationId xmlns:a16="http://schemas.microsoft.com/office/drawing/2014/main" id="{A703583B-6374-4690-B8BC-8D6A61F4DB52}"/>
                </a:ext>
              </a:extLst>
            </xdr:cNvPr>
            <xdr:cNvCxnSpPr>
              <a:cxnSpLocks/>
            </xdr:cNvCxnSpPr>
          </xdr:nvCxnSpPr>
          <xdr:spPr>
            <a:xfrm>
              <a:off x="589309" y="13744969"/>
              <a:ext cx="5218793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5" name="текст_КурсВведение" descr="Excel может вывести текущее время с учетом региональных параметров компьютера. Кроме того, он может складывать и вычитать значения времени. Например, вы можете отслеживать, сколько часов в неделю проработал сотрудник, чтобы вычислять его зарплату и сверхурочные.&#10;&#10;">
              <a:extLst>
                <a:ext uri="{FF2B5EF4-FFF2-40B4-BE49-F238E27FC236}">
                  <a16:creationId xmlns:a16="http://schemas.microsoft.com/office/drawing/2014/main" id="{D8BC11B9-1B82-45F8-A69B-BA51910C6977}"/>
                </a:ext>
              </a:extLst>
            </xdr:cNvPr>
            <xdr:cNvSpPr txBox="1"/>
          </xdr:nvSpPr>
          <xdr:spPr>
            <a:xfrm>
              <a:off x="586111" y="5294307"/>
              <a:ext cx="5222183" cy="8367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rIns="0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Excel может вывести текущее время с учетом региональных параметров компьютера. Кроме того, он может складывать и вычитать значения времени. Например, вы можете отслеживать, сколько часов в неделю проработал сотрудник, чтобы вычислять его зарплату и сверхурочные.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grpSp>
          <xdr:nvGrpSpPr>
            <xdr:cNvPr id="126" name="Группа 125">
              <a:extLst>
                <a:ext uri="{FF2B5EF4-FFF2-40B4-BE49-F238E27FC236}">
                  <a16:creationId xmlns:a16="http://schemas.microsoft.com/office/drawing/2014/main" id="{51E7C080-AEB7-4E6C-8D70-3BBDC2303676}"/>
                </a:ext>
              </a:extLst>
            </xdr:cNvPr>
            <xdr:cNvGrpSpPr/>
          </xdr:nvGrpSpPr>
          <xdr:grpSpPr>
            <a:xfrm>
              <a:off x="581025" y="6189909"/>
              <a:ext cx="5206583" cy="7433158"/>
              <a:chOff x="7200900" y="1236909"/>
              <a:chExt cx="5206583" cy="7433158"/>
            </a:xfrm>
          </xdr:grpSpPr>
          <xdr:grpSp>
            <xdr:nvGrpSpPr>
              <xdr:cNvPr id="127" name="группа_Шаг">
                <a:extLst>
                  <a:ext uri="{FF2B5EF4-FFF2-40B4-BE49-F238E27FC236}">
                    <a16:creationId xmlns:a16="http://schemas.microsoft.com/office/drawing/2014/main" id="{AAE10329-58E6-4043-B19B-2070B24369C8}"/>
                  </a:ext>
                </a:extLst>
              </xdr:cNvPr>
              <xdr:cNvGrpSpPr/>
            </xdr:nvGrpSpPr>
            <xdr:grpSpPr>
              <a:xfrm>
                <a:off x="7200900" y="1236909"/>
                <a:ext cx="5206583" cy="880239"/>
                <a:chOff x="495420" y="7904409"/>
                <a:chExt cx="5201275" cy="880239"/>
              </a:xfrm>
            </xdr:grpSpPr>
            <xdr:sp macro="" textlink="">
              <xdr:nvSpPr>
                <xdr:cNvPr id="149" name="текст_Шаг" descr="В ячейке D28 введите =ТДАТА(). Эта формула отображает текущее время, которое обновляется при каждом пересчете книги Excel. Если вам нужно изменить формат времени, нажмите клавиши CTRL+1, на вкладке «Число» щелкните «Время» и выберите нужный формат.&#10;&#10;&#10;&#10;">
                  <a:extLst>
                    <a:ext uri="{FF2B5EF4-FFF2-40B4-BE49-F238E27FC236}">
                      <a16:creationId xmlns:a16="http://schemas.microsoft.com/office/drawing/2014/main" id="{E9EDD045-804A-43D1-9571-BDF7D36C6FD0}"/>
                    </a:ext>
                  </a:extLst>
                </xdr:cNvPr>
                <xdr:cNvSpPr txBox="1"/>
              </xdr:nvSpPr>
              <xdr:spPr>
                <a:xfrm>
                  <a:off x="918156" y="7946367"/>
                  <a:ext cx="4778539" cy="83828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wrap="square" rtlCol="0" anchor="t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В ячейке D28 введите </a:t>
                  </a:r>
                  <a:r>
                    <a:rPr lang="ru" sz="1100" b="1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=ТДАТА()</a:t>
                  </a: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. Эта формула отображает текущее время, которое обновляется при каждом пересчете книги Excel. Если вам нужно изменить формат времени, нажмите клавиши </a:t>
                  </a:r>
                  <a:r>
                    <a:rPr lang="ru" sz="1100" b="1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CTRL+1</a:t>
                  </a: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, на вкладке </a:t>
                  </a:r>
                  <a:r>
                    <a:rPr lang="ru" sz="1100" b="1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Число</a:t>
                  </a: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 щелкните </a:t>
                  </a:r>
                  <a:r>
                    <a:rPr lang="ru" sz="1100" b="1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Время</a:t>
                  </a: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 и выберите нужный формат.</a:t>
                  </a: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en-US" sz="1100" b="0" i="0" u="none" strike="noStrike" kern="0" cap="none" spc="0" normalizeH="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uLnTx/>
                    <a:uFillTx/>
                    <a:latin typeface="Segoe UI" panose="020B0502040204020203" pitchFamily="34" charset="0"/>
                    <a:ea typeface="Segoe UI" pitchFamily="34" charset="0"/>
                    <a:cs typeface="Segoe UI" panose="020B0502040204020203" pitchFamily="34" charset="0"/>
                  </a:endParaRPr>
                </a:p>
              </xdr:txBody>
            </xdr:sp>
            <xdr:sp macro="" textlink="">
              <xdr:nvSpPr>
                <xdr:cNvPr id="150" name="фигура_Шаг" descr="1">
                  <a:extLst>
                    <a:ext uri="{FF2B5EF4-FFF2-40B4-BE49-F238E27FC236}">
                      <a16:creationId xmlns:a16="http://schemas.microsoft.com/office/drawing/2014/main" id="{43143942-F7A9-4AD3-81E2-7C90A9BD32F5}"/>
                    </a:ext>
                  </a:extLst>
                </xdr:cNvPr>
                <xdr:cNvSpPr/>
              </xdr:nvSpPr>
              <xdr:spPr>
                <a:xfrm>
                  <a:off x="495420" y="7904409"/>
                  <a:ext cx="372191" cy="366863"/>
                </a:xfrm>
                <a:prstGeom prst="ellipse">
                  <a:avLst/>
                </a:prstGeom>
                <a:solidFill>
                  <a:srgbClr val="21734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 rtl="0"/>
                  <a:r>
                    <a:rPr lang="ru" sz="1600">
                      <a:latin typeface="Segoe UI Semibold" panose="020B0702040204020203" pitchFamily="34" charset="0"/>
                      <a:cs typeface="Segoe UI Semibold" panose="020B0702040204020203" pitchFamily="34" charset="0"/>
                    </a:rPr>
                    <a:t>1</a:t>
                  </a:r>
                </a:p>
              </xdr:txBody>
            </xdr:sp>
          </xdr:grpSp>
          <xdr:grpSp>
            <xdr:nvGrpSpPr>
              <xdr:cNvPr id="128" name="группа_Шаг">
                <a:extLst>
                  <a:ext uri="{FF2B5EF4-FFF2-40B4-BE49-F238E27FC236}">
                    <a16:creationId xmlns:a16="http://schemas.microsoft.com/office/drawing/2014/main" id="{FCFD70FD-C355-4B74-9752-B828C322CD76}"/>
                  </a:ext>
                </a:extLst>
              </xdr:cNvPr>
              <xdr:cNvGrpSpPr/>
            </xdr:nvGrpSpPr>
            <xdr:grpSpPr>
              <a:xfrm>
                <a:off x="7200900" y="2192105"/>
                <a:ext cx="5159775" cy="1803147"/>
                <a:chOff x="525612" y="7752546"/>
                <a:chExt cx="5511381" cy="1725918"/>
              </a:xfrm>
            </xdr:grpSpPr>
            <xdr:sp macro="" textlink="">
              <xdr:nvSpPr>
                <xdr:cNvPr id="147" name="текст_Шаг" descr="Чтобы определить количество часов между значениями времени, в ячейке D36 мы ввели формулу =((D35-D32)-(D34-D33))*24, которая вычисляет время начала и окончания работы, а затем вычитает время, затраченное на обед. Операция *24 в конце формула преобразует дробную часть дня, которая хранится в Excel, в часы. Вам потребуется отформатировать ячейку как число. Чтобы сделать это, откройте вкладку «Главная», нажмите кнопку «Формат» и выберите «Формат ячеек» (или же нажмите клавиши CTRL+1), а затем на вкладке «Число» щелкните «Числовой» и задайте 2 десятичных знака.&#10;&#10;&#10;">
                  <a:extLst>
                    <a:ext uri="{FF2B5EF4-FFF2-40B4-BE49-F238E27FC236}">
                      <a16:creationId xmlns:a16="http://schemas.microsoft.com/office/drawing/2014/main" id="{0EFBDF0F-AC77-476D-A83B-91831148AC0B}"/>
                    </a:ext>
                  </a:extLst>
                </xdr:cNvPr>
                <xdr:cNvSpPr txBox="1"/>
              </xdr:nvSpPr>
              <xdr:spPr>
                <a:xfrm>
                  <a:off x="977615" y="7792493"/>
                  <a:ext cx="5059378" cy="168597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wrap="square" rtlCol="0" anchor="t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ru" sz="1100" b="1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Чтобы определить количество часов между значениями времени</a:t>
                  </a: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, в ячейке D36 мы ввели формулу</a:t>
                  </a:r>
                  <a:r>
                    <a:rPr lang="en-US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 </a:t>
                  </a:r>
                  <a:r>
                    <a:rPr lang="ru" sz="1100" b="1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=((D35-D32)-(D34-D33))*24</a:t>
                  </a: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, которая вычисляет время начала и окончания работы, а затем вычитает время, затраченное на обед. Операция *24 в конце формулы преобразует дробную часть дня, которая хранится в Excel, в часы. Вам потребуется отформатировать ячейку как число. Чтобы сделать это, откройте вкладку </a:t>
                  </a:r>
                  <a:r>
                    <a:rPr lang="ru" sz="1100" b="1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Главная</a:t>
                  </a: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, нажмите кнопку </a:t>
                  </a:r>
                  <a:r>
                    <a:rPr lang="ru" sz="1100" b="1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Формат</a:t>
                  </a: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 и выберите </a:t>
                  </a:r>
                  <a:r>
                    <a:rPr lang="ru" sz="1100" b="1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Формат ячеек</a:t>
                  </a: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 (или же нажмите клавиши </a:t>
                  </a:r>
                  <a:r>
                    <a:rPr lang="ru" sz="1100" b="1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CTRL+1</a:t>
                  </a: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), а затем на вкладке </a:t>
                  </a:r>
                  <a:r>
                    <a:rPr lang="ru" sz="1100" b="1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Число</a:t>
                  </a: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 щелкните </a:t>
                  </a:r>
                  <a:r>
                    <a:rPr lang="ru" sz="1100" b="1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Числовой</a:t>
                  </a: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 и задайте 2 десятичных знака.</a:t>
                  </a: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en-US" sz="1100" b="0" i="0" u="none" strike="noStrike" kern="0" cap="none" spc="0" normalizeH="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uLnTx/>
                    <a:uFillTx/>
                    <a:latin typeface="Segoe UI" panose="020B0502040204020203" pitchFamily="34" charset="0"/>
                    <a:ea typeface="Segoe UI" pitchFamily="34" charset="0"/>
                    <a:cs typeface="Segoe UI" panose="020B0502040204020203" pitchFamily="34" charset="0"/>
                  </a:endParaRP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en-US" sz="1100" b="0" i="0" u="none" strike="noStrike" kern="0" cap="none" spc="0" normalizeH="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uLnTx/>
                    <a:uFillTx/>
                    <a:latin typeface="Segoe UI" panose="020B0502040204020203" pitchFamily="34" charset="0"/>
                    <a:ea typeface="Segoe UI" pitchFamily="34" charset="0"/>
                    <a:cs typeface="Segoe UI" panose="020B0502040204020203" pitchFamily="34" charset="0"/>
                  </a:endParaRPr>
                </a:p>
              </xdr:txBody>
            </xdr:sp>
            <xdr:sp macro="" textlink="">
              <xdr:nvSpPr>
                <xdr:cNvPr id="148" name="фигура_Шаг" descr="2">
                  <a:extLst>
                    <a:ext uri="{FF2B5EF4-FFF2-40B4-BE49-F238E27FC236}">
                      <a16:creationId xmlns:a16="http://schemas.microsoft.com/office/drawing/2014/main" id="{01C2BD5A-43C6-4B2A-81C9-44F9293E1619}"/>
                    </a:ext>
                  </a:extLst>
                </xdr:cNvPr>
                <xdr:cNvSpPr/>
              </xdr:nvSpPr>
              <xdr:spPr>
                <a:xfrm>
                  <a:off x="525612" y="7752546"/>
                  <a:ext cx="394065" cy="349280"/>
                </a:xfrm>
                <a:prstGeom prst="ellipse">
                  <a:avLst/>
                </a:prstGeom>
                <a:solidFill>
                  <a:srgbClr val="21734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 rtl="0"/>
                  <a:r>
                    <a:rPr lang="ru" sz="1600">
                      <a:latin typeface="Segoe UI Semibold" panose="020B0702040204020203" pitchFamily="34" charset="0"/>
                      <a:cs typeface="Segoe UI Semibold" panose="020B0702040204020203" pitchFamily="34" charset="0"/>
                    </a:rPr>
                    <a:t>2</a:t>
                  </a:r>
                </a:p>
              </xdr:txBody>
            </xdr:sp>
          </xdr:grpSp>
          <xdr:grpSp>
            <xdr:nvGrpSpPr>
              <xdr:cNvPr id="129" name="группа_Шаг">
                <a:extLst>
                  <a:ext uri="{FF2B5EF4-FFF2-40B4-BE49-F238E27FC236}">
                    <a16:creationId xmlns:a16="http://schemas.microsoft.com/office/drawing/2014/main" id="{37BDA65B-35DA-46DF-B41B-4F13939916CE}"/>
                  </a:ext>
                </a:extLst>
              </xdr:cNvPr>
              <xdr:cNvGrpSpPr/>
            </xdr:nvGrpSpPr>
            <xdr:grpSpPr>
              <a:xfrm>
                <a:off x="7200900" y="4068411"/>
                <a:ext cx="5159775" cy="1382368"/>
                <a:chOff x="525612" y="8291809"/>
                <a:chExt cx="5511381" cy="1323157"/>
              </a:xfrm>
            </xdr:grpSpPr>
            <xdr:sp macro="" textlink="">
              <xdr:nvSpPr>
                <xdr:cNvPr id="145" name="текст_Шаг" descr="Вот как расшифровывается эта формула: возьмем время окончания работы и вычтем из него время начала, затем отнимем от полученного значения разницу между окончанием и началом обеда и умножим результат на 24, чтобы преобразовать дробные значения времени в часы. Схематично это можно представить как =((Окончание работы - Начало работы)-(Окончание обеда - Начало обеда))*24.">
                  <a:extLst>
                    <a:ext uri="{FF2B5EF4-FFF2-40B4-BE49-F238E27FC236}">
                      <a16:creationId xmlns:a16="http://schemas.microsoft.com/office/drawing/2014/main" id="{48EA3D5E-AB73-4DC6-A8F8-8EECF1D29572}"/>
                    </a:ext>
                  </a:extLst>
                </xdr:cNvPr>
                <xdr:cNvSpPr txBox="1"/>
              </xdr:nvSpPr>
              <xdr:spPr>
                <a:xfrm>
                  <a:off x="977615" y="8331770"/>
                  <a:ext cx="5059378" cy="128319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wrap="square" rtlCol="0" anchor="t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ru" sz="1100" b="0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Вот как расшифровывается эта формула: возьмем время окончания работы и вычтем из него время начала, затем отнимем от полученного значения разницу между окончанием и началом обеда и умножим результат на 24, чтобы преобразовать дробные значения времени в часы. Схематично это можно представить как </a:t>
                  </a:r>
                  <a:r>
                    <a:rPr lang="ru" sz="1100" b="1" i="0" u="none" strike="noStrike" kern="0" cap="none" spc="0" normalizeH="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effectLst/>
                      <a:uLnTx/>
                      <a:uFillTx/>
                      <a:latin typeface="Segoe UI" panose="020B0502040204020203" pitchFamily="34" charset="0"/>
                      <a:ea typeface="Segoe UI" pitchFamily="34" charset="0"/>
                      <a:cs typeface="Segoe UI" panose="020B0502040204020203" pitchFamily="34" charset="0"/>
                    </a:rPr>
                    <a:t>=((Окончание работы - Начало работы)-(Окончание обеда - Начало обеда))*24.</a:t>
                  </a: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en-US" sz="1100" b="0" i="0" u="none" strike="noStrike" kern="0" cap="none" spc="0" normalizeH="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/>
                    <a:uLnTx/>
                    <a:uFillTx/>
                    <a:latin typeface="Segoe UI" panose="020B0502040204020203" pitchFamily="34" charset="0"/>
                    <a:ea typeface="Segoe UI" pitchFamily="34" charset="0"/>
                    <a:cs typeface="Segoe UI" panose="020B0502040204020203" pitchFamily="34" charset="0"/>
                  </a:endParaRPr>
                </a:p>
              </xdr:txBody>
            </xdr:sp>
            <xdr:sp macro="" textlink="">
              <xdr:nvSpPr>
                <xdr:cNvPr id="146" name="фигура_Шаг" descr="3">
                  <a:extLst>
                    <a:ext uri="{FF2B5EF4-FFF2-40B4-BE49-F238E27FC236}">
                      <a16:creationId xmlns:a16="http://schemas.microsoft.com/office/drawing/2014/main" id="{A80445FC-915C-4C80-84C7-4F5844E68106}"/>
                    </a:ext>
                  </a:extLst>
                </xdr:cNvPr>
                <xdr:cNvSpPr/>
              </xdr:nvSpPr>
              <xdr:spPr>
                <a:xfrm>
                  <a:off x="525612" y="8291809"/>
                  <a:ext cx="394065" cy="349279"/>
                </a:xfrm>
                <a:prstGeom prst="ellipse">
                  <a:avLst/>
                </a:prstGeom>
                <a:solidFill>
                  <a:srgbClr val="21734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 rtl="0"/>
                  <a:r>
                    <a:rPr lang="ru" sz="1600">
                      <a:latin typeface="Segoe UI Semibold" panose="020B0702040204020203" pitchFamily="34" charset="0"/>
                      <a:cs typeface="Segoe UI Semibold" panose="020B0702040204020203" pitchFamily="34" charset="0"/>
                    </a:rPr>
                    <a:t>3</a:t>
                  </a:r>
                </a:p>
              </xdr:txBody>
            </xdr:sp>
          </xdr:grpSp>
          <xdr:grpSp>
            <xdr:nvGrpSpPr>
              <xdr:cNvPr id="130" name="Группа 129">
                <a:extLst>
                  <a:ext uri="{FF2B5EF4-FFF2-40B4-BE49-F238E27FC236}">
                    <a16:creationId xmlns:a16="http://schemas.microsoft.com/office/drawing/2014/main" id="{DF713144-AD4F-445E-9EBF-373B4699DB59}"/>
                  </a:ext>
                </a:extLst>
              </xdr:cNvPr>
              <xdr:cNvGrpSpPr/>
            </xdr:nvGrpSpPr>
            <xdr:grpSpPr>
              <a:xfrm>
                <a:off x="7858133" y="5493595"/>
                <a:ext cx="4400541" cy="3176472"/>
                <a:chOff x="7777163" y="5464137"/>
                <a:chExt cx="4683791" cy="3013765"/>
              </a:xfrm>
            </xdr:grpSpPr>
            <xdr:sp macro="" textlink="">
              <xdr:nvSpPr>
                <xdr:cNvPr id="131" name="ФормулаНижняяСкобка">
                  <a:extLst>
                    <a:ext uri="{FF2B5EF4-FFF2-40B4-BE49-F238E27FC236}">
                      <a16:creationId xmlns:a16="http://schemas.microsoft.com/office/drawing/2014/main" id="{A3F3B087-00D2-476D-AC4C-EB3A04318A49}"/>
                    </a:ext>
                  </a:extLst>
                </xdr:cNvPr>
                <xdr:cNvSpPr/>
              </xdr:nvSpPr>
              <xdr:spPr>
                <a:xfrm rot="16200000">
                  <a:off x="8913239" y="6691513"/>
                  <a:ext cx="478110" cy="493776"/>
                </a:xfrm>
                <a:prstGeom prst="leftBrac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/>
                <a:p>
                  <a:pPr marL="0" indent="0" rtl="0"/>
                  <a:endParaRPr lang="en-US"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2" name="ФормулаВерхняяСкобка">
                  <a:extLst>
                    <a:ext uri="{FF2B5EF4-FFF2-40B4-BE49-F238E27FC236}">
                      <a16:creationId xmlns:a16="http://schemas.microsoft.com/office/drawing/2014/main" id="{7C65B1CB-F7F0-4F37-A997-175F5CFFD7C0}"/>
                    </a:ext>
                  </a:extLst>
                </xdr:cNvPr>
                <xdr:cNvSpPr/>
              </xdr:nvSpPr>
              <xdr:spPr>
                <a:xfrm rot="5400000">
                  <a:off x="11358057" y="6086773"/>
                  <a:ext cx="478111" cy="495300"/>
                </a:xfrm>
                <a:prstGeom prst="leftBrac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/>
                <a:p>
                  <a:pPr rtl="0"/>
                  <a:endParaRPr lang="en-US"/>
                </a:p>
              </xdr:txBody>
            </xdr:sp>
            <xdr:sp macro="" textlink="">
              <xdr:nvSpPr>
                <xdr:cNvPr id="133" name="ФормулаВерхняяСкобка">
                  <a:extLst>
                    <a:ext uri="{FF2B5EF4-FFF2-40B4-BE49-F238E27FC236}">
                      <a16:creationId xmlns:a16="http://schemas.microsoft.com/office/drawing/2014/main" id="{CF6D3514-478A-4DBA-A8E4-F612350013B5}"/>
                    </a:ext>
                  </a:extLst>
                </xdr:cNvPr>
                <xdr:cNvSpPr/>
              </xdr:nvSpPr>
              <xdr:spPr>
                <a:xfrm rot="5400000">
                  <a:off x="8247253" y="6073756"/>
                  <a:ext cx="478111" cy="492754"/>
                </a:xfrm>
                <a:prstGeom prst="leftBrac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/>
                <a:p>
                  <a:pPr rtl="0"/>
                  <a:endParaRPr lang="en-US"/>
                </a:p>
              </xdr:txBody>
            </xdr:sp>
            <xdr:sp macro="" textlink="">
              <xdr:nvSpPr>
                <xdr:cNvPr id="134" name="текст_Формула" descr="=((D35-D32)-(D34-D33))*24&#10;">
                  <a:extLst>
                    <a:ext uri="{FF2B5EF4-FFF2-40B4-BE49-F238E27FC236}">
                      <a16:creationId xmlns:a16="http://schemas.microsoft.com/office/drawing/2014/main" id="{6009CED5-1433-4E1F-B008-D29EAE95FC7A}"/>
                    </a:ext>
                  </a:extLst>
                </xdr:cNvPr>
                <xdr:cNvSpPr txBox="1"/>
              </xdr:nvSpPr>
              <xdr:spPr>
                <a:xfrm>
                  <a:off x="7777163" y="6481126"/>
                  <a:ext cx="4181475" cy="33602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wrap="square" lIns="0" tIns="0" rIns="0" bIns="0" rtlCol="0" anchor="t"/>
                <a:lstStyle/>
                <a:p>
                  <a:pPr marL="0" marR="0" rtl="0"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ru" sz="2000">
                      <a:solidFill>
                        <a:srgbClr val="000000"/>
                      </a:solidFill>
                      <a:effectLst/>
                      <a:latin typeface="Courier New" panose="02070309020205020404" pitchFamily="49" charset="0"/>
                      <a:ea typeface="Times New Roman" panose="02020603050405020304" pitchFamily="18" charset="0"/>
                    </a:rPr>
                    <a:t>=((D35-D32)-(D34-D33))*24</a:t>
                  </a:r>
                  <a:endParaRPr lang="en-US" sz="2000">
                    <a:effectLst/>
                    <a:latin typeface="Times New Roman" panose="02020603050405020304" pitchFamily="18" charset="0"/>
                    <a:ea typeface="Times New Roman" panose="02020603050405020304" pitchFamily="18" charset="0"/>
                  </a:endParaRPr>
                </a:p>
              </xdr:txBody>
            </xdr:sp>
            <xdr:sp macro="" textlink="">
              <xdr:nvSpPr>
                <xdr:cNvPr id="135" name="текст_ФормулаВерхняяВыноска" descr="Окончание&#10;&#10;">
                  <a:extLst>
                    <a:ext uri="{FF2B5EF4-FFF2-40B4-BE49-F238E27FC236}">
                      <a16:creationId xmlns:a16="http://schemas.microsoft.com/office/drawing/2014/main" id="{9F9E3A72-C781-4703-B4D3-DB7F87F8E5A1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7847090" y="5755262"/>
                  <a:ext cx="1318984" cy="274320"/>
                </a:xfrm>
                <a:prstGeom prst="rect">
                  <a:avLst/>
                </a:prstGeom>
                <a:solidFill>
                  <a:schemeClr val="accent1">
                    <a:lumMod val="20000"/>
                    <a:lumOff val="80000"/>
                  </a:schemeClr>
                </a:solidFill>
                <a:ln w="9525">
                  <a:noFill/>
                  <a:miter lim="800000"/>
                  <a:headEnd/>
                  <a:tailEnd/>
                </a:ln>
              </xdr:spPr>
              <xdr:txBody>
                <a:bodyPr rot="0" vert="horz" wrap="square" lIns="91440" tIns="45720" rIns="91440" bIns="45720" rtlCol="0" anchor="t" anchorCtr="0">
                  <a:noAutofit/>
                </a:bodyPr>
                <a:lstStyle/>
                <a:p>
                  <a:pPr marL="0" marR="0" algn="ctr" rtl="0">
                    <a:lnSpc>
                      <a:spcPct val="107000"/>
                    </a:lnSpc>
                    <a:spcBef>
                      <a:spcPts val="0"/>
                    </a:spcBef>
                    <a:spcAft>
                      <a:spcPts val="800"/>
                    </a:spcAft>
                  </a:pPr>
                  <a:r>
                    <a:rPr lang="ru-RU" sz="1100">
                      <a:effectLst/>
                      <a:latin typeface="Calibri" panose="020F0502020204030204" pitchFamily="34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a:t>Время окончания</a:t>
                  </a:r>
                  <a:endParaRPr lang="ru" sz="1100">
                    <a:effectLst/>
                    <a:latin typeface="Calibri" panose="020F0502020204030204" pitchFamily="34" charset="0"/>
                    <a:ea typeface="Calibri" panose="020F0502020204030204" pitchFamily="34" charset="0"/>
                    <a:cs typeface="Times New Roman" panose="02020603050405020304" pitchFamily="18" charset="0"/>
                  </a:endParaRPr>
                </a:p>
              </xdr:txBody>
            </xdr:sp>
            <xdr:sp macro="" textlink="">
              <xdr:nvSpPr>
                <xdr:cNvPr id="136" name="текст_ФормулаВерхняяВыноска" descr="Умножение на 24 для преобразования дробного значения в часы&#10;&#10;">
                  <a:extLst>
                    <a:ext uri="{FF2B5EF4-FFF2-40B4-BE49-F238E27FC236}">
                      <a16:creationId xmlns:a16="http://schemas.microsoft.com/office/drawing/2014/main" id="{2C1C0812-CC81-4B65-BB0C-BE1F6D5C5B38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10895467" y="5464137"/>
                  <a:ext cx="1565487" cy="740823"/>
                </a:xfrm>
                <a:prstGeom prst="rect">
                  <a:avLst/>
                </a:prstGeom>
                <a:solidFill>
                  <a:schemeClr val="accent1">
                    <a:lumMod val="20000"/>
                    <a:lumOff val="80000"/>
                  </a:schemeClr>
                </a:solidFill>
                <a:ln w="9525">
                  <a:noFill/>
                  <a:miter lim="800000"/>
                  <a:headEnd/>
                  <a:tailEnd/>
                </a:ln>
              </xdr:spPr>
              <xdr:txBody>
                <a:bodyPr rot="0" vert="horz" wrap="square" lIns="91440" tIns="45720" rIns="91440" bIns="45720" rtlCol="0" anchor="t" anchorCtr="0">
                  <a:noAutofit/>
                </a:bodyPr>
                <a:lstStyle/>
                <a:p>
                  <a:pPr marL="0" marR="0" algn="ctr" rtl="0">
                    <a:lnSpc>
                      <a:spcPct val="107000"/>
                    </a:lnSpc>
                    <a:spcBef>
                      <a:spcPts val="0"/>
                    </a:spcBef>
                    <a:spcAft>
                      <a:spcPts val="800"/>
                    </a:spcAft>
                  </a:pPr>
                  <a:r>
                    <a:rPr lang="ru" sz="1100">
                      <a:effectLst/>
                      <a:latin typeface="Calibri" panose="020F0502020204030204" pitchFamily="34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a:t>Умножение на 24 для преобразования дробного значения в часы</a:t>
                  </a:r>
                </a:p>
              </xdr:txBody>
            </xdr:sp>
            <xdr:sp macro="" textlink="">
              <xdr:nvSpPr>
                <xdr:cNvPr id="137" name="текст_ФормулаНижняяВыноска" descr="Начало&#10;">
                  <a:extLst>
                    <a:ext uri="{FF2B5EF4-FFF2-40B4-BE49-F238E27FC236}">
                      <a16:creationId xmlns:a16="http://schemas.microsoft.com/office/drawing/2014/main" id="{5E5338FF-C2B1-4DA0-AE11-AC6DC9A18383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8599095" y="7042241"/>
                  <a:ext cx="1124573" cy="274320"/>
                </a:xfrm>
                <a:prstGeom prst="rect">
                  <a:avLst/>
                </a:prstGeom>
                <a:solidFill>
                  <a:srgbClr val="E2F0D9"/>
                </a:solidFill>
                <a:ln w="9525">
                  <a:noFill/>
                  <a:miter lim="800000"/>
                  <a:headEnd/>
                  <a:tailEnd/>
                </a:ln>
              </xdr:spPr>
              <xdr:txBody>
                <a:bodyPr rot="0" vert="horz" wrap="square" lIns="91440" tIns="45720" rIns="91440" bIns="45720" rtlCol="0" anchor="t" anchorCtr="0">
                  <a:noAutofit/>
                </a:bodyPr>
                <a:lstStyle/>
                <a:p>
                  <a:pPr marL="0" marR="0" indent="0" algn="ctr" rtl="0">
                    <a:lnSpc>
                      <a:spcPct val="107000"/>
                    </a:lnSpc>
                    <a:spcBef>
                      <a:spcPts val="0"/>
                    </a:spcBef>
                    <a:spcAft>
                      <a:spcPts val="800"/>
                    </a:spcAft>
                  </a:pPr>
                  <a:r>
                    <a:rPr lang="ru-RU" sz="1100">
                      <a:effectLst/>
                      <a:latin typeface="Calibri" panose="020F0502020204030204" pitchFamily="34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a:t>Время начала</a:t>
                  </a:r>
                  <a:endParaRPr lang="ru" sz="1100">
                    <a:effectLst/>
                    <a:latin typeface="Calibri" panose="020F0502020204030204" pitchFamily="34" charset="0"/>
                    <a:ea typeface="Calibri" panose="020F0502020204030204" pitchFamily="34" charset="0"/>
                    <a:cs typeface="Times New Roman" panose="02020603050405020304" pitchFamily="18" charset="0"/>
                  </a:endParaRPr>
                </a:p>
              </xdr:txBody>
            </xdr:sp>
            <xdr:sp macro="" textlink="">
              <xdr:nvSpPr>
                <xdr:cNvPr id="138" name="ФормулаНижняяСкобка">
                  <a:extLst>
                    <a:ext uri="{FF2B5EF4-FFF2-40B4-BE49-F238E27FC236}">
                      <a16:creationId xmlns:a16="http://schemas.microsoft.com/office/drawing/2014/main" id="{A4A9F5A5-EF16-4EE5-91AA-7223F0B363A9}"/>
                    </a:ext>
                  </a:extLst>
                </xdr:cNvPr>
                <xdr:cNvSpPr/>
              </xdr:nvSpPr>
              <xdr:spPr>
                <a:xfrm rot="16200000">
                  <a:off x="10541562" y="6705787"/>
                  <a:ext cx="478110" cy="493776"/>
                </a:xfrm>
                <a:prstGeom prst="leftBrac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/>
                <a:p>
                  <a:pPr marL="0" indent="0" rtl="0"/>
                  <a:endParaRPr lang="en-US"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9" name="ФормулаВерхняяСкобка">
                  <a:extLst>
                    <a:ext uri="{FF2B5EF4-FFF2-40B4-BE49-F238E27FC236}">
                      <a16:creationId xmlns:a16="http://schemas.microsoft.com/office/drawing/2014/main" id="{E9FAA5E1-CE6E-4068-9309-7BEC7468CAD9}"/>
                    </a:ext>
                  </a:extLst>
                </xdr:cNvPr>
                <xdr:cNvSpPr/>
              </xdr:nvSpPr>
              <xdr:spPr>
                <a:xfrm rot="5400000">
                  <a:off x="9870150" y="6088041"/>
                  <a:ext cx="478111" cy="492754"/>
                </a:xfrm>
                <a:prstGeom prst="leftBrac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/>
                <a:p>
                  <a:pPr rtl="0"/>
                  <a:endParaRPr lang="en-US"/>
                </a:p>
              </xdr:txBody>
            </xdr:sp>
            <xdr:sp macro="" textlink="">
              <xdr:nvSpPr>
                <xdr:cNvPr id="140" name="текст_ФормулаВерхняяВыноска" descr="Окончание обеда&#10;">
                  <a:extLst>
                    <a:ext uri="{FF2B5EF4-FFF2-40B4-BE49-F238E27FC236}">
                      <a16:creationId xmlns:a16="http://schemas.microsoft.com/office/drawing/2014/main" id="{AC3DD593-CF51-4FD3-853B-AF9786C1FA03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9439807" y="5769536"/>
                  <a:ext cx="1341103" cy="274320"/>
                </a:xfrm>
                <a:prstGeom prst="rect">
                  <a:avLst/>
                </a:prstGeom>
                <a:solidFill>
                  <a:schemeClr val="accent1">
                    <a:lumMod val="20000"/>
                    <a:lumOff val="80000"/>
                  </a:schemeClr>
                </a:solidFill>
                <a:ln w="9525">
                  <a:noFill/>
                  <a:miter lim="800000"/>
                  <a:headEnd/>
                  <a:tailEnd/>
                </a:ln>
              </xdr:spPr>
              <xdr:txBody>
                <a:bodyPr rot="0" vert="horz" wrap="square" lIns="91440" tIns="45720" rIns="91440" bIns="45720" rtlCol="0" anchor="t" anchorCtr="0">
                  <a:noAutofit/>
                </a:bodyPr>
                <a:lstStyle/>
                <a:p>
                  <a:pPr marL="0" marR="0" algn="ctr" rtl="0">
                    <a:lnSpc>
                      <a:spcPct val="107000"/>
                    </a:lnSpc>
                    <a:spcBef>
                      <a:spcPts val="0"/>
                    </a:spcBef>
                    <a:spcAft>
                      <a:spcPts val="800"/>
                    </a:spcAft>
                  </a:pPr>
                  <a:r>
                    <a:rPr lang="ru" sz="1100">
                      <a:effectLst/>
                      <a:latin typeface="Calibri" panose="020F0502020204030204" pitchFamily="34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a:t>Окончание обеда</a:t>
                  </a:r>
                </a:p>
              </xdr:txBody>
            </xdr:sp>
            <xdr:sp macro="" textlink="">
              <xdr:nvSpPr>
                <xdr:cNvPr id="141" name="текст_ФормулаНижняяВыноска" descr="Начало обеда&#10;&#10;">
                  <a:extLst>
                    <a:ext uri="{FF2B5EF4-FFF2-40B4-BE49-F238E27FC236}">
                      <a16:creationId xmlns:a16="http://schemas.microsoft.com/office/drawing/2014/main" id="{B855D0A5-2977-4D62-AD0B-843A0716AFBA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10237556" y="7056514"/>
                  <a:ext cx="1111199" cy="274320"/>
                </a:xfrm>
                <a:prstGeom prst="rect">
                  <a:avLst/>
                </a:prstGeom>
                <a:solidFill>
                  <a:srgbClr val="E2F0D9"/>
                </a:solidFill>
                <a:ln w="9525">
                  <a:noFill/>
                  <a:miter lim="800000"/>
                  <a:headEnd/>
                  <a:tailEnd/>
                </a:ln>
              </xdr:spPr>
              <xdr:txBody>
                <a:bodyPr rot="0" vert="horz" wrap="square" lIns="91440" tIns="45720" rIns="91440" bIns="45720" rtlCol="0" anchor="t" anchorCtr="0">
                  <a:noAutofit/>
                </a:bodyPr>
                <a:lstStyle/>
                <a:p>
                  <a:pPr marL="0" marR="0" indent="0" algn="ctr" rtl="0">
                    <a:lnSpc>
                      <a:spcPct val="107000"/>
                    </a:lnSpc>
                    <a:spcBef>
                      <a:spcPts val="0"/>
                    </a:spcBef>
                    <a:spcAft>
                      <a:spcPts val="800"/>
                    </a:spcAft>
                  </a:pPr>
                  <a:r>
                    <a:rPr lang="ru" sz="1100">
                      <a:effectLst/>
                      <a:latin typeface="Calibri" panose="020F0502020204030204" pitchFamily="34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a:t>Начало обеда</a:t>
                  </a:r>
                </a:p>
              </xdr:txBody>
            </xdr:sp>
            <xdr:sp macro="" textlink="">
              <xdr:nvSpPr>
                <xdr:cNvPr id="142" name="ФормулаНижняяСкобка">
                  <a:extLst>
                    <a:ext uri="{FF2B5EF4-FFF2-40B4-BE49-F238E27FC236}">
                      <a16:creationId xmlns:a16="http://schemas.microsoft.com/office/drawing/2014/main" id="{5250274B-2899-460D-B59C-3A1662F7E28C}"/>
                    </a:ext>
                  </a:extLst>
                </xdr:cNvPr>
                <xdr:cNvSpPr/>
              </xdr:nvSpPr>
              <xdr:spPr>
                <a:xfrm rot="16200000">
                  <a:off x="8659277" y="7105937"/>
                  <a:ext cx="478110" cy="1238251"/>
                </a:xfrm>
                <a:prstGeom prst="leftBrac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/>
                <a:p>
                  <a:pPr marL="0" indent="0" rtl="0"/>
                  <a:endParaRPr lang="en-US"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43" name="ФормулаНижняяСкобка">
                  <a:extLst>
                    <a:ext uri="{FF2B5EF4-FFF2-40B4-BE49-F238E27FC236}">
                      <a16:creationId xmlns:a16="http://schemas.microsoft.com/office/drawing/2014/main" id="{1D36D39A-C164-4F79-A807-42C3A0A9EA22}"/>
                    </a:ext>
                  </a:extLst>
                </xdr:cNvPr>
                <xdr:cNvSpPr/>
              </xdr:nvSpPr>
              <xdr:spPr>
                <a:xfrm rot="16200000">
                  <a:off x="10442081" y="7101174"/>
                  <a:ext cx="478110" cy="1238251"/>
                </a:xfrm>
                <a:prstGeom prst="leftBrac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/>
                <a:p>
                  <a:pPr marL="0" indent="0" rtl="0"/>
                  <a:endParaRPr lang="en-US"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44" name="текст_ФормулаНижняяВыноска" descr="Внутренние скобки () указывают на то, что эти части формулы нужно вычислить отдельно. Внешние скобки позволяют Excel перемножить внутренний результат на 24.&#10;&#10;">
                  <a:extLst>
                    <a:ext uri="{FF2B5EF4-FFF2-40B4-BE49-F238E27FC236}">
                      <a16:creationId xmlns:a16="http://schemas.microsoft.com/office/drawing/2014/main" id="{791ADF03-B2CC-43DD-B52D-595B3D32B386}"/>
                    </a:ext>
                  </a:extLst>
                </xdr:cNvPr>
                <xdr:cNvSpPr txBox="1">
                  <a:spLocks noChangeArrowheads="1"/>
                </xdr:cNvSpPr>
              </xdr:nvSpPr>
              <xdr:spPr bwMode="auto">
                <a:xfrm>
                  <a:off x="7977201" y="7871774"/>
                  <a:ext cx="4167174" cy="606128"/>
                </a:xfrm>
                <a:prstGeom prst="rect">
                  <a:avLst/>
                </a:prstGeom>
                <a:solidFill>
                  <a:schemeClr val="accent1">
                    <a:lumMod val="20000"/>
                    <a:lumOff val="80000"/>
                  </a:schemeClr>
                </a:solidFill>
                <a:ln w="9525">
                  <a:noFill/>
                  <a:miter lim="800000"/>
                  <a:headEnd/>
                  <a:tailEnd/>
                </a:ln>
              </xdr:spPr>
              <xdr:txBody>
                <a:bodyPr rot="0" vert="horz" wrap="square" lIns="91440" tIns="45720" rIns="91440" bIns="45720" rtlCol="0" anchor="t" anchorCtr="0">
                  <a:noAutofit/>
                </a:bodyPr>
                <a:lstStyle/>
                <a:p>
                  <a:pPr marL="0" marR="0" indent="0" algn="ctr" rtl="0">
                    <a:lnSpc>
                      <a:spcPct val="107000"/>
                    </a:lnSpc>
                    <a:spcBef>
                      <a:spcPts val="0"/>
                    </a:spcBef>
                    <a:spcAft>
                      <a:spcPts val="800"/>
                    </a:spcAft>
                  </a:pPr>
                  <a:r>
                    <a:rPr lang="ru" sz="1100">
                      <a:effectLst/>
                      <a:latin typeface="Calibri" panose="020F0502020204030204" pitchFamily="34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a:t>Внутренние скобки () указывают на то, что эти части формулы нужно вычислить отдельно. Внешние скобки позволяют Excel перемножить</a:t>
                  </a:r>
                  <a:r>
                    <a:rPr lang="ru" sz="1100" baseline="0">
                      <a:effectLst/>
                      <a:latin typeface="Calibri" panose="020F0502020204030204" pitchFamily="34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a:t> внутренний результат на 24.</a:t>
                  </a:r>
                  <a:endParaRPr lang="en-US" sz="1100">
                    <a:effectLst/>
                    <a:latin typeface="Calibri" panose="020F0502020204030204" pitchFamily="34" charset="0"/>
                    <a:ea typeface="Calibri" panose="020F0502020204030204" pitchFamily="34" charset="0"/>
                    <a:cs typeface="Times New Roman" panose="02020603050405020304" pitchFamily="18" charset="0"/>
                  </a:endParaRPr>
                </a:p>
              </xdr:txBody>
            </xdr:sp>
          </xdr:grpSp>
        </xdr:grpSp>
      </xdr:grpSp>
      <xdr:sp macro="" textlink="">
        <xdr:nvSpPr>
          <xdr:cNvPr id="151" name="Кнопка«Назад»" descr="Вернуться на предыдущий лист">
            <a:hlinkClick xmlns:r="http://schemas.openxmlformats.org/officeDocument/2006/relationships" r:id="rId3" tooltip="Щелкните здесь, чтобы вернуться на предыдущий лист"/>
            <a:extLst>
              <a:ext uri="{FF2B5EF4-FFF2-40B4-BE49-F238E27FC236}">
                <a16:creationId xmlns:a16="http://schemas.microsoft.com/office/drawing/2014/main" id="{FCEE4E56-0B89-4F5D-A0A7-90EECC03D116}"/>
              </a:ext>
            </a:extLst>
          </xdr:cNvPr>
          <xdr:cNvSpPr/>
        </xdr:nvSpPr>
        <xdr:spPr>
          <a:xfrm flipH="1">
            <a:off x="609600" y="13965515"/>
            <a:ext cx="1275170" cy="335449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200">
                <a:solidFill>
                  <a:srgbClr val="0B744D"/>
                </a:solidFill>
                <a:latin typeface="Segoe UI" pitchFamily="34" charset="0"/>
                <a:ea typeface="Segoe UI" pitchFamily="34" charset="0"/>
                <a:cs typeface="Segoe UI" pitchFamily="34" charset="0"/>
              </a:rPr>
              <a:t>Назад</a:t>
            </a:r>
          </a:p>
        </xdr:txBody>
      </xdr:sp>
      <xdr:sp macro="" textlink="">
        <xdr:nvSpPr>
          <xdr:cNvPr id="152" name="Кнопка«Далее»" descr="Перейти к следующему листу">
            <a:hlinkClick xmlns:r="http://schemas.openxmlformats.org/officeDocument/2006/relationships" r:id="rId4" tooltip="Щелкните здесь, чтобы перейти на следующий лист"/>
            <a:extLst>
              <a:ext uri="{FF2B5EF4-FFF2-40B4-BE49-F238E27FC236}">
                <a16:creationId xmlns:a16="http://schemas.microsoft.com/office/drawing/2014/main" id="{892C894D-1A63-4276-98DF-57872191F092}"/>
              </a:ext>
            </a:extLst>
          </xdr:cNvPr>
          <xdr:cNvSpPr/>
        </xdr:nvSpPr>
        <xdr:spPr>
          <a:xfrm>
            <a:off x="4532361" y="13965509"/>
            <a:ext cx="1275170" cy="335449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200">
                <a:solidFill>
                  <a:srgbClr val="0B744D"/>
                </a:solidFill>
                <a:latin typeface="Segoe UI" pitchFamily="34" charset="0"/>
                <a:ea typeface="Segoe UI" pitchFamily="34" charset="0"/>
                <a:cs typeface="Segoe UI" pitchFamily="34" charset="0"/>
              </a:rPr>
              <a:t>Далее</a:t>
            </a:r>
          </a:p>
        </xdr:txBody>
      </xdr:sp>
    </xdr:grpSp>
    <xdr:clientData/>
  </xdr:twoCellAnchor>
  <xdr:absoluteAnchor>
    <xdr:pos x="6334125" y="10201724"/>
    <xdr:ext cx="3190875" cy="1599729"/>
    <xdr:grpSp>
      <xdr:nvGrpSpPr>
        <xdr:cNvPr id="153" name="Группа 152">
          <a:extLst>
            <a:ext uri="{FF2B5EF4-FFF2-40B4-BE49-F238E27FC236}">
              <a16:creationId xmlns:a16="http://schemas.microsoft.com/office/drawing/2014/main" id="{5099300F-1CF9-4951-9904-72E39FABE751}"/>
            </a:ext>
          </a:extLst>
        </xdr:cNvPr>
        <xdr:cNvGrpSpPr/>
      </xdr:nvGrpSpPr>
      <xdr:grpSpPr>
        <a:xfrm>
          <a:off x="6334125" y="10201724"/>
          <a:ext cx="3190875" cy="1599729"/>
          <a:chOff x="6391275" y="8526993"/>
          <a:chExt cx="3190875" cy="1445682"/>
        </a:xfrm>
      </xdr:grpSpPr>
      <xdr:sp macro="" textlink="">
        <xdr:nvSpPr>
          <xdr:cNvPr id="154" name="Шаг" descr="ПОЛЕЗНЫЕ СВЕДЕНИЯ&#10;С помощью сочетаний клавиш можно вводить значения даты и времени, которые не будут постоянно изменяться:&#10;&#10;Дата: CTRL+; &#10;Время: CTRL+SHIFT+:&#10;">
            <a:extLst>
              <a:ext uri="{FF2B5EF4-FFF2-40B4-BE49-F238E27FC236}">
                <a16:creationId xmlns:a16="http://schemas.microsoft.com/office/drawing/2014/main" id="{B34ACC4B-6898-43D7-8CE0-22EF795B1C15}"/>
              </a:ext>
            </a:extLst>
          </xdr:cNvPr>
          <xdr:cNvSpPr txBox="1"/>
        </xdr:nvSpPr>
        <xdr:spPr>
          <a:xfrm>
            <a:off x="6637024" y="8769732"/>
            <a:ext cx="2945126" cy="12029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ПОЛЕЗНЫЕ СВЕДЕНИЯ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С помощью сочетаний клавиш можно вводить значения даты и времени, которые не будут постоянно изменяться:</a:t>
            </a:r>
          </a:p>
          <a:p>
            <a:pPr algn="ctr" rtl="0" eaLnBrk="1" fontAlgn="auto" latinLnBrk="0" hangingPunct="1"/>
            <a:endParaRPr lang="en-US" sz="1100" b="0" i="0" kern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pPr algn="ctr"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Дата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CTRL+</a:t>
            </a:r>
            <a:r>
              <a:rPr lang="en-US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SHIFT+4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</a:p>
          <a:p>
            <a:pPr algn="ctr"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Время: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CTRL+SHIFT+</a:t>
            </a:r>
            <a:r>
              <a:rPr lang="en-US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6</a:t>
            </a:r>
            <a:endParaRPr lang="en-US" sz="1100">
              <a:effectLst/>
              <a:latin typeface="+mn-lt"/>
            </a:endParaRPr>
          </a:p>
        </xdr:txBody>
      </xdr:sp>
      <xdr:pic>
        <xdr:nvPicPr>
          <xdr:cNvPr id="155" name="Графический объект 147" descr="Очки">
            <a:extLst>
              <a:ext uri="{FF2B5EF4-FFF2-40B4-BE49-F238E27FC236}">
                <a16:creationId xmlns:a16="http://schemas.microsoft.com/office/drawing/2014/main" id="{CE0C3790-EFBA-44FF-9FDC-4DC01893B6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391275" y="8769732"/>
            <a:ext cx="300614" cy="258345"/>
          </a:xfrm>
          <a:prstGeom prst="rect">
            <a:avLst/>
          </a:prstGeom>
        </xdr:spPr>
      </xdr:pic>
      <xdr:sp macro="" textlink="">
        <xdr:nvSpPr>
          <xdr:cNvPr id="156" name="Полилиния: фигура 155" descr="Стрелка">
            <a:extLst>
              <a:ext uri="{FF2B5EF4-FFF2-40B4-BE49-F238E27FC236}">
                <a16:creationId xmlns:a16="http://schemas.microsoft.com/office/drawing/2014/main" id="{DC28982F-2938-4FB2-83AE-57CF7D95EFD2}"/>
              </a:ext>
            </a:extLst>
          </xdr:cNvPr>
          <xdr:cNvSpPr/>
        </xdr:nvSpPr>
        <xdr:spPr>
          <a:xfrm rot="5587898" flipV="1">
            <a:off x="8302899" y="8411618"/>
            <a:ext cx="345250" cy="576000"/>
          </a:xfrm>
          <a:custGeom>
            <a:avLst/>
            <a:gdLst>
              <a:gd name="connsiteX0" fmla="*/ 279015 w 279015"/>
              <a:gd name="connsiteY0" fmla="*/ 99249 h 1391008"/>
              <a:gd name="connsiteX1" fmla="*/ 134697 w 279015"/>
              <a:gd name="connsiteY1" fmla="*/ 118492 h 1391008"/>
              <a:gd name="connsiteX2" fmla="*/ 211667 w 279015"/>
              <a:gd name="connsiteY2" fmla="*/ 1282658 h 1391008"/>
              <a:gd name="connsiteX3" fmla="*/ 0 w 279015"/>
              <a:gd name="connsiteY3" fmla="*/ 1340386 h 1391008"/>
              <a:gd name="connsiteX4" fmla="*/ 0 w 279015"/>
              <a:gd name="connsiteY4" fmla="*/ 1340386 h 1391008"/>
              <a:gd name="connsiteX0" fmla="*/ 279015 w 279015"/>
              <a:gd name="connsiteY0" fmla="*/ 32141 h 1310271"/>
              <a:gd name="connsiteX1" fmla="*/ 152422 w 279015"/>
              <a:gd name="connsiteY1" fmla="*/ 244286 h 1310271"/>
              <a:gd name="connsiteX2" fmla="*/ 211667 w 279015"/>
              <a:gd name="connsiteY2" fmla="*/ 1215550 h 1310271"/>
              <a:gd name="connsiteX3" fmla="*/ 0 w 279015"/>
              <a:gd name="connsiteY3" fmla="*/ 1273278 h 1310271"/>
              <a:gd name="connsiteX4" fmla="*/ 0 w 279015"/>
              <a:gd name="connsiteY4" fmla="*/ 1273278 h 1310271"/>
              <a:gd name="connsiteX0" fmla="*/ 279015 w 279015"/>
              <a:gd name="connsiteY0" fmla="*/ 2960 h 1281090"/>
              <a:gd name="connsiteX1" fmla="*/ 152422 w 279015"/>
              <a:gd name="connsiteY1" fmla="*/ 215105 h 1281090"/>
              <a:gd name="connsiteX2" fmla="*/ 211667 w 279015"/>
              <a:gd name="connsiteY2" fmla="*/ 1186369 h 1281090"/>
              <a:gd name="connsiteX3" fmla="*/ 0 w 279015"/>
              <a:gd name="connsiteY3" fmla="*/ 1244097 h 1281090"/>
              <a:gd name="connsiteX4" fmla="*/ 0 w 279015"/>
              <a:gd name="connsiteY4" fmla="*/ 1244097 h 12810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79015" h="1281090">
                <a:moveTo>
                  <a:pt x="279015" y="2960"/>
                </a:moveTo>
                <a:cubicBezTo>
                  <a:pt x="162617" y="-10856"/>
                  <a:pt x="163647" y="17870"/>
                  <a:pt x="152422" y="215105"/>
                </a:cubicBezTo>
                <a:cubicBezTo>
                  <a:pt x="141197" y="412340"/>
                  <a:pt x="237071" y="1014870"/>
                  <a:pt x="211667" y="1186369"/>
                </a:cubicBezTo>
                <a:cubicBezTo>
                  <a:pt x="186263" y="1357868"/>
                  <a:pt x="0" y="1244097"/>
                  <a:pt x="0" y="1244097"/>
                </a:cubicBezTo>
                <a:lnTo>
                  <a:pt x="0" y="1244097"/>
                </a:ln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triangl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absoluteAnchor>
  <xdr:twoCellAnchor>
    <xdr:from>
      <xdr:col>0</xdr:col>
      <xdr:colOff>342900</xdr:colOff>
      <xdr:row>72</xdr:row>
      <xdr:rowOff>66675</xdr:rowOff>
    </xdr:from>
    <xdr:to>
      <xdr:col>1</xdr:col>
      <xdr:colOff>5228463</xdr:colOff>
      <xdr:row>85</xdr:row>
      <xdr:rowOff>110175</xdr:rowOff>
    </xdr:to>
    <xdr:grpSp>
      <xdr:nvGrpSpPr>
        <xdr:cNvPr id="157" name="Группа 156">
          <a:extLst>
            <a:ext uri="{FF2B5EF4-FFF2-40B4-BE49-F238E27FC236}">
              <a16:creationId xmlns:a16="http://schemas.microsoft.com/office/drawing/2014/main" id="{BBCBE502-8234-4D4A-9B27-5CABDDC8BAC3}"/>
            </a:ext>
          </a:extLst>
        </xdr:cNvPr>
        <xdr:cNvGrpSpPr/>
      </xdr:nvGrpSpPr>
      <xdr:grpSpPr>
        <a:xfrm>
          <a:off x="342900" y="14725650"/>
          <a:ext cx="5733288" cy="2520000"/>
          <a:chOff x="352425" y="12715875"/>
          <a:chExt cx="5733288" cy="2520000"/>
        </a:xfrm>
      </xdr:grpSpPr>
      <xdr:sp macro="" textlink="">
        <xdr:nvSpPr>
          <xdr:cNvPr id="158" name="Прямоугольник 157">
            <a:extLst>
              <a:ext uri="{FF2B5EF4-FFF2-40B4-BE49-F238E27FC236}">
                <a16:creationId xmlns:a16="http://schemas.microsoft.com/office/drawing/2014/main" id="{EB78088A-F728-4334-BBAD-9DCAD9DC2A2E}"/>
              </a:ext>
            </a:extLst>
          </xdr:cNvPr>
          <xdr:cNvSpPr/>
        </xdr:nvSpPr>
        <xdr:spPr>
          <a:xfrm>
            <a:off x="352425" y="12715875"/>
            <a:ext cx="5733288" cy="2520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/>
          </a:p>
        </xdr:txBody>
      </xdr:sp>
      <xdr:sp macro="" textlink="">
        <xdr:nvSpPr>
          <xdr:cNvPr id="159" name="Шаг" descr="Дополнительные сведения в Интернете&#10;">
            <a:extLst>
              <a:ext uri="{FF2B5EF4-FFF2-40B4-BE49-F238E27FC236}">
                <a16:creationId xmlns:a16="http://schemas.microsoft.com/office/drawing/2014/main" id="{0CC303B6-A72F-431D-B2DE-1F16D7E093B2}"/>
              </a:ext>
            </a:extLst>
          </xdr:cNvPr>
          <xdr:cNvSpPr txBox="1"/>
        </xdr:nvSpPr>
        <xdr:spPr>
          <a:xfrm>
            <a:off x="564965" y="12801623"/>
            <a:ext cx="5254218" cy="4857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Дополнительные сведения в Интернете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cxnSp macro="">
        <xdr:nvCxnSpPr>
          <xdr:cNvPr id="160" name="Прямая соединительная линия 159" descr="Декоративная линия">
            <a:extLst>
              <a:ext uri="{FF2B5EF4-FFF2-40B4-BE49-F238E27FC236}">
                <a16:creationId xmlns:a16="http://schemas.microsoft.com/office/drawing/2014/main" id="{52A9E11F-836A-48CD-A0B1-5196D5B7FDEF}"/>
              </a:ext>
            </a:extLst>
          </xdr:cNvPr>
          <xdr:cNvCxnSpPr>
            <a:cxnSpLocks/>
          </xdr:cNvCxnSpPr>
        </xdr:nvCxnSpPr>
        <xdr:spPr>
          <a:xfrm>
            <a:off x="564965" y="13240143"/>
            <a:ext cx="525104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1" name="Прямая соединительная линия 160" descr="Декоративная линия">
            <a:extLst>
              <a:ext uri="{FF2B5EF4-FFF2-40B4-BE49-F238E27FC236}">
                <a16:creationId xmlns:a16="http://schemas.microsoft.com/office/drawing/2014/main" id="{2AF4D85B-72C9-4670-AFD5-D498C1F96D34}"/>
              </a:ext>
            </a:extLst>
          </xdr:cNvPr>
          <xdr:cNvCxnSpPr>
            <a:cxnSpLocks/>
          </xdr:cNvCxnSpPr>
        </xdr:nvCxnSpPr>
        <xdr:spPr>
          <a:xfrm>
            <a:off x="564965" y="15048073"/>
            <a:ext cx="525104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571931</xdr:colOff>
      <xdr:row>75</xdr:row>
      <xdr:rowOff>121369</xdr:rowOff>
    </xdr:from>
    <xdr:to>
      <xdr:col>1</xdr:col>
      <xdr:colOff>2590800</xdr:colOff>
      <xdr:row>77</xdr:row>
      <xdr:rowOff>99448</xdr:rowOff>
    </xdr:to>
    <xdr:grpSp>
      <xdr:nvGrpSpPr>
        <xdr:cNvPr id="14" name="Группа 13">
          <a:extLst>
            <a:ext uri="{FF2B5EF4-FFF2-40B4-BE49-F238E27FC236}">
              <a16:creationId xmlns:a16="http://schemas.microsoft.com/office/drawing/2014/main" id="{C4A695FE-F3AB-4030-A0F4-F10322DAD2D7}"/>
            </a:ext>
          </a:extLst>
        </xdr:cNvPr>
        <xdr:cNvGrpSpPr/>
      </xdr:nvGrpSpPr>
      <xdr:grpSpPr>
        <a:xfrm>
          <a:off x="571931" y="15351844"/>
          <a:ext cx="2866594" cy="359079"/>
          <a:chOff x="571931" y="13599244"/>
          <a:chExt cx="2866594" cy="359079"/>
        </a:xfrm>
      </xdr:grpSpPr>
      <xdr:sp macro="" textlink="">
        <xdr:nvSpPr>
          <xdr:cNvPr id="162" name="Шаг" descr="Гиперссылка на веб-страницу о функции СЕГОДНЯ&#10;&#10;">
            <a:hlinkClick xmlns:r="http://schemas.openxmlformats.org/officeDocument/2006/relationships" r:id="rId5" tooltip="Подробные сведения о функции СЕГОДНЯ в Интернете"/>
            <a:extLst>
              <a:ext uri="{FF2B5EF4-FFF2-40B4-BE49-F238E27FC236}">
                <a16:creationId xmlns:a16="http://schemas.microsoft.com/office/drawing/2014/main" id="{F8241A74-09BF-4A60-A53F-A5CCC994B75C}"/>
              </a:ext>
            </a:extLst>
          </xdr:cNvPr>
          <xdr:cNvSpPr txBox="1"/>
        </xdr:nvSpPr>
        <xdr:spPr>
          <a:xfrm>
            <a:off x="1037116" y="13673604"/>
            <a:ext cx="2401409" cy="2539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СЕГОДНЯ</a:t>
            </a:r>
          </a:p>
        </xdr:txBody>
      </xdr:sp>
      <xdr:pic>
        <xdr:nvPicPr>
          <xdr:cNvPr id="163" name="Графический объект 22" descr="Стрелка">
            <a:hlinkClick xmlns:r="http://schemas.openxmlformats.org/officeDocument/2006/relationships" r:id="rId5" tooltip="Дополнительные сведения в Интернете"/>
            <a:extLst>
              <a:ext uri="{FF2B5EF4-FFF2-40B4-BE49-F238E27FC236}">
                <a16:creationId xmlns:a16="http://schemas.microsoft.com/office/drawing/2014/main" id="{6ECAD5CD-51D3-4862-91A2-8FB3AEC3B5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71931" y="13599244"/>
            <a:ext cx="492262" cy="3590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571931</xdr:colOff>
      <xdr:row>77</xdr:row>
      <xdr:rowOff>155916</xdr:rowOff>
    </xdr:from>
    <xdr:to>
      <xdr:col>1</xdr:col>
      <xdr:colOff>2619375</xdr:colOff>
      <xdr:row>79</xdr:row>
      <xdr:rowOff>139305</xdr:rowOff>
    </xdr:to>
    <xdr:grpSp>
      <xdr:nvGrpSpPr>
        <xdr:cNvPr id="13" name="Группа 12">
          <a:extLst>
            <a:ext uri="{FF2B5EF4-FFF2-40B4-BE49-F238E27FC236}">
              <a16:creationId xmlns:a16="http://schemas.microsoft.com/office/drawing/2014/main" id="{E793ECE4-F54A-4632-BABB-CDB76236E886}"/>
            </a:ext>
          </a:extLst>
        </xdr:cNvPr>
        <xdr:cNvGrpSpPr/>
      </xdr:nvGrpSpPr>
      <xdr:grpSpPr>
        <a:xfrm>
          <a:off x="571931" y="15767391"/>
          <a:ext cx="2895169" cy="364389"/>
          <a:chOff x="571931" y="14014791"/>
          <a:chExt cx="2895169" cy="364389"/>
        </a:xfrm>
      </xdr:grpSpPr>
      <xdr:sp macro="" textlink="">
        <xdr:nvSpPr>
          <xdr:cNvPr id="164" name="Шаг" descr="Гиперссылка на веб-страницу о функции ТДАТА&#10;">
            <a:hlinkClick xmlns:r="http://schemas.openxmlformats.org/officeDocument/2006/relationships" r:id="rId8" tooltip="Подробные сведения о функции ТДАТА в Интернете"/>
            <a:extLst>
              <a:ext uri="{FF2B5EF4-FFF2-40B4-BE49-F238E27FC236}">
                <a16:creationId xmlns:a16="http://schemas.microsoft.com/office/drawing/2014/main" id="{99ED5FDC-AE78-4AD5-8FB5-D398732CB7E5}"/>
              </a:ext>
            </a:extLst>
          </xdr:cNvPr>
          <xdr:cNvSpPr txBox="1"/>
        </xdr:nvSpPr>
        <xdr:spPr>
          <a:xfrm>
            <a:off x="1037116" y="14093795"/>
            <a:ext cx="2429984" cy="2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ТДАТА</a:t>
            </a:r>
          </a:p>
        </xdr:txBody>
      </xdr:sp>
      <xdr:pic>
        <xdr:nvPicPr>
          <xdr:cNvPr id="165" name="Графический объект 22" descr="Стрелка">
            <a:hlinkClick xmlns:r="http://schemas.openxmlformats.org/officeDocument/2006/relationships" r:id="rId8" tooltip="Дополнительные сведения в Интернете"/>
            <a:extLst>
              <a:ext uri="{FF2B5EF4-FFF2-40B4-BE49-F238E27FC236}">
                <a16:creationId xmlns:a16="http://schemas.microsoft.com/office/drawing/2014/main" id="{E70542D9-5A9E-41DE-8F08-C01A0DE31A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71931" y="14014791"/>
            <a:ext cx="492262" cy="36438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584540</xdr:colOff>
      <xdr:row>82</xdr:row>
      <xdr:rowOff>79678</xdr:rowOff>
    </xdr:from>
    <xdr:to>
      <xdr:col>1</xdr:col>
      <xdr:colOff>3028950</xdr:colOff>
      <xdr:row>84</xdr:row>
      <xdr:rowOff>63067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659E6730-AC76-4CC7-A823-D2C618696DAA}"/>
            </a:ext>
          </a:extLst>
        </xdr:cNvPr>
        <xdr:cNvGrpSpPr/>
      </xdr:nvGrpSpPr>
      <xdr:grpSpPr>
        <a:xfrm>
          <a:off x="584540" y="16643653"/>
          <a:ext cx="3292135" cy="364389"/>
          <a:chOff x="584540" y="14891053"/>
          <a:chExt cx="3292135" cy="364389"/>
        </a:xfrm>
      </xdr:grpSpPr>
      <xdr:sp macro="" textlink="">
        <xdr:nvSpPr>
          <xdr:cNvPr id="166" name="Шаг" descr="Гиперссылка на бесплатные учебные веб-курсы по Excel&#10;">
            <a:hlinkClick xmlns:r="http://schemas.openxmlformats.org/officeDocument/2006/relationships" r:id="rId9" tooltip="Сведения о бесплатных учебных веб-курсах по Excel"/>
            <a:extLst>
              <a:ext uri="{FF2B5EF4-FFF2-40B4-BE49-F238E27FC236}">
                <a16:creationId xmlns:a16="http://schemas.microsoft.com/office/drawing/2014/main" id="{3AA6BF12-05BC-4A54-8192-040964AEB7FE}"/>
              </a:ext>
            </a:extLst>
          </xdr:cNvPr>
          <xdr:cNvSpPr txBox="1"/>
        </xdr:nvSpPr>
        <xdr:spPr>
          <a:xfrm>
            <a:off x="1049724" y="14913582"/>
            <a:ext cx="2826951" cy="248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Бесплатные учебные веб-курсы по Excel</a:t>
            </a:r>
          </a:p>
        </xdr:txBody>
      </xdr:sp>
      <xdr:pic>
        <xdr:nvPicPr>
          <xdr:cNvPr id="167" name="Графический объект 22" descr="Стрелка">
            <a:hlinkClick xmlns:r="http://schemas.openxmlformats.org/officeDocument/2006/relationships" r:id="rId9" tooltip="Дополнительные сведения в Интернете"/>
            <a:extLst>
              <a:ext uri="{FF2B5EF4-FFF2-40B4-BE49-F238E27FC236}">
                <a16:creationId xmlns:a16="http://schemas.microsoft.com/office/drawing/2014/main" id="{8C78D2E4-2A5C-4746-884A-D6C829F287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84540" y="14891053"/>
            <a:ext cx="492262" cy="36438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581456</xdr:colOff>
      <xdr:row>80</xdr:row>
      <xdr:rowOff>5273</xdr:rowOff>
    </xdr:from>
    <xdr:to>
      <xdr:col>1</xdr:col>
      <xdr:colOff>2628900</xdr:colOff>
      <xdr:row>81</xdr:row>
      <xdr:rowOff>179162</xdr:rowOff>
    </xdr:to>
    <xdr:grpSp>
      <xdr:nvGrpSpPr>
        <xdr:cNvPr id="12" name="Группа 11">
          <a:extLst>
            <a:ext uri="{FF2B5EF4-FFF2-40B4-BE49-F238E27FC236}">
              <a16:creationId xmlns:a16="http://schemas.microsoft.com/office/drawing/2014/main" id="{FF28E0D6-012A-4FA6-9D67-C8B77A5CC9E6}"/>
            </a:ext>
          </a:extLst>
        </xdr:cNvPr>
        <xdr:cNvGrpSpPr/>
      </xdr:nvGrpSpPr>
      <xdr:grpSpPr>
        <a:xfrm>
          <a:off x="581456" y="16188248"/>
          <a:ext cx="2895169" cy="364389"/>
          <a:chOff x="581456" y="14435648"/>
          <a:chExt cx="2895169" cy="364389"/>
        </a:xfrm>
      </xdr:grpSpPr>
      <xdr:sp macro="" textlink="">
        <xdr:nvSpPr>
          <xdr:cNvPr id="168" name="Шаг" descr="Гиперссылка на веб-страницу о функции ДАТА&#10;">
            <a:hlinkClick xmlns:r="http://schemas.openxmlformats.org/officeDocument/2006/relationships" r:id="rId10" tooltip="Подробные сведения о функции ДАТА в Интернете"/>
            <a:extLst>
              <a:ext uri="{FF2B5EF4-FFF2-40B4-BE49-F238E27FC236}">
                <a16:creationId xmlns:a16="http://schemas.microsoft.com/office/drawing/2014/main" id="{282D96E3-1EC6-421D-A0C9-770266F3958E}"/>
              </a:ext>
            </a:extLst>
          </xdr:cNvPr>
          <xdr:cNvSpPr txBox="1"/>
        </xdr:nvSpPr>
        <xdr:spPr>
          <a:xfrm>
            <a:off x="1046641" y="14492287"/>
            <a:ext cx="2429984" cy="2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ДАТА</a:t>
            </a:r>
          </a:p>
        </xdr:txBody>
      </xdr:sp>
      <xdr:pic>
        <xdr:nvPicPr>
          <xdr:cNvPr id="169" name="Графический объект 22" descr="Стрелка">
            <a:hlinkClick xmlns:r="http://schemas.openxmlformats.org/officeDocument/2006/relationships" r:id="rId10" tooltip="Дополнительные сведения в Интернете"/>
            <a:extLst>
              <a:ext uri="{FF2B5EF4-FFF2-40B4-BE49-F238E27FC236}">
                <a16:creationId xmlns:a16="http://schemas.microsoft.com/office/drawing/2014/main" id="{3FAA42DE-DF2C-46D8-990E-BD532B1D56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81456" y="14435648"/>
            <a:ext cx="492262" cy="3643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50633</xdr:colOff>
      <xdr:row>6</xdr:row>
      <xdr:rowOff>120354</xdr:rowOff>
    </xdr:from>
    <xdr:to>
      <xdr:col>10</xdr:col>
      <xdr:colOff>333373</xdr:colOff>
      <xdr:row>13</xdr:row>
      <xdr:rowOff>92073</xdr:rowOff>
    </xdr:to>
    <xdr:grpSp>
      <xdr:nvGrpSpPr>
        <xdr:cNvPr id="78" name="ВАЖНО" descr="ВАЖНО&#10;&#10;">
          <a:extLst>
            <a:ext uri="{FF2B5EF4-FFF2-40B4-BE49-F238E27FC236}">
              <a16:creationId xmlns:a16="http://schemas.microsoft.com/office/drawing/2014/main" id="{F03EFBCA-CF45-46A3-8D0C-6B4DC1C4CC33}"/>
            </a:ext>
          </a:extLst>
        </xdr:cNvPr>
        <xdr:cNvGrpSpPr/>
      </xdr:nvGrpSpPr>
      <xdr:grpSpPr>
        <a:xfrm>
          <a:off x="8966033" y="2082504"/>
          <a:ext cx="3940340" cy="1390944"/>
          <a:chOff x="6396316" y="11324814"/>
          <a:chExt cx="4084641" cy="1343436"/>
        </a:xfrm>
      </xdr:grpSpPr>
      <xdr:sp macro="" textlink="">
        <xdr:nvSpPr>
          <xdr:cNvPr id="79" name="Инструкция" descr="ВАЖНО&#10;Если вы не хотите, чтобы Excel выводил отрицательное число, потому что вы еще не указали свой день рождения, используйте формулу =ЕСЛИ(D7=&quot;&quot;;&quot;&quot;;D7-D6). Она означает следующее: если ячейка D7 пуста, ничего не отображать, в противном случае вывести D7 минус D6.&#10;&#10;">
            <a:extLst>
              <a:ext uri="{FF2B5EF4-FFF2-40B4-BE49-F238E27FC236}">
                <a16:creationId xmlns:a16="http://schemas.microsoft.com/office/drawing/2014/main" id="{C68ECE02-F87F-4906-B6F3-616A5ECFD97E}"/>
              </a:ext>
            </a:extLst>
          </xdr:cNvPr>
          <xdr:cNvSpPr txBox="1"/>
        </xdr:nvSpPr>
        <xdr:spPr>
          <a:xfrm>
            <a:off x="7073900" y="11363325"/>
            <a:ext cx="3407057" cy="1304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ВАЖНО</a:t>
            </a: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Если вы не хотите, чтобы Excel выводил отрицательное число, потому что вы еще не указали свой день рождения, используйте формулу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=ЕСЛИ(D7="";"";D7-D6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). Она означает следующее: если ячейка D7 пуста, ничего не отображать, в противном случае вывести D7 минус D6.</a:t>
            </a:r>
            <a:endParaRPr lang="en-US" sz="1100">
              <a:effectLst/>
            </a:endParaRPr>
          </a:p>
        </xdr:txBody>
      </xdr:sp>
      <xdr:pic>
        <xdr:nvPicPr>
          <xdr:cNvPr id="80" name="Лупа" descr="Лупа">
            <a:extLst>
              <a:ext uri="{FF2B5EF4-FFF2-40B4-BE49-F238E27FC236}">
                <a16:creationId xmlns:a16="http://schemas.microsoft.com/office/drawing/2014/main" id="{57556E3F-B900-42F5-BB4C-8C77763120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 flipH="1">
            <a:off x="6788150" y="11420475"/>
            <a:ext cx="352313" cy="339611"/>
          </a:xfrm>
          <a:prstGeom prst="rect">
            <a:avLst/>
          </a:prstGeom>
        </xdr:spPr>
      </xdr:pic>
      <xdr:sp macro="" textlink="">
        <xdr:nvSpPr>
          <xdr:cNvPr id="81" name="Стрелка" descr="Стрелка">
            <a:extLst>
              <a:ext uri="{FF2B5EF4-FFF2-40B4-BE49-F238E27FC236}">
                <a16:creationId xmlns:a16="http://schemas.microsoft.com/office/drawing/2014/main" id="{08C6D92D-4BCD-49B7-AEF5-6E3024F783F9}"/>
              </a:ext>
            </a:extLst>
          </xdr:cNvPr>
          <xdr:cNvSpPr/>
        </xdr:nvSpPr>
        <xdr:spPr>
          <a:xfrm rot="19569635">
            <a:off x="6396316" y="11324814"/>
            <a:ext cx="475440" cy="394481"/>
          </a:xfrm>
          <a:prstGeom prst="arc">
            <a:avLst>
              <a:gd name="adj1" fmla="val 15011426"/>
              <a:gd name="adj2" fmla="val 672396"/>
            </a:avLst>
          </a:prstGeom>
          <a:ln w="19050">
            <a:solidFill>
              <a:schemeClr val="accent2">
                <a:lumMod val="60000"/>
                <a:lumOff val="40000"/>
              </a:schemeClr>
            </a:solidFill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23</xdr:row>
      <xdr:rowOff>66674</xdr:rowOff>
    </xdr:from>
    <xdr:to>
      <xdr:col>1</xdr:col>
      <xdr:colOff>5210175</xdr:colOff>
      <xdr:row>48</xdr:row>
      <xdr:rowOff>20174</xdr:rowOff>
    </xdr:to>
    <xdr:grpSp>
      <xdr:nvGrpSpPr>
        <xdr:cNvPr id="111" name="Группа 110">
          <a:extLst>
            <a:ext uri="{FF2B5EF4-FFF2-40B4-BE49-F238E27FC236}">
              <a16:creationId xmlns:a16="http://schemas.microsoft.com/office/drawing/2014/main" id="{5C38C905-DEF0-45E7-ABEB-10915BE42D13}"/>
            </a:ext>
          </a:extLst>
        </xdr:cNvPr>
        <xdr:cNvGrpSpPr/>
      </xdr:nvGrpSpPr>
      <xdr:grpSpPr>
        <a:xfrm>
          <a:off x="323850" y="5019674"/>
          <a:ext cx="5734050" cy="4716000"/>
          <a:chOff x="323850" y="5019674"/>
          <a:chExt cx="5734050" cy="4716000"/>
        </a:xfrm>
      </xdr:grpSpPr>
      <xdr:grpSp>
        <xdr:nvGrpSpPr>
          <xdr:cNvPr id="58" name="Группа_ОбластьКурса">
            <a:extLst>
              <a:ext uri="{FF2B5EF4-FFF2-40B4-BE49-F238E27FC236}">
                <a16:creationId xmlns:a16="http://schemas.microsoft.com/office/drawing/2014/main" id="{3E43ADA2-5F3E-45C6-BA66-1973A0B1F638}"/>
              </a:ext>
            </a:extLst>
          </xdr:cNvPr>
          <xdr:cNvGrpSpPr/>
        </xdr:nvGrpSpPr>
        <xdr:grpSpPr>
          <a:xfrm>
            <a:off x="323850" y="5019674"/>
            <a:ext cx="5734050" cy="4716000"/>
            <a:chOff x="609600" y="1523999"/>
            <a:chExt cx="5695950" cy="4765642"/>
          </a:xfrm>
        </xdr:grpSpPr>
        <xdr:sp macro="" textlink="">
          <xdr:nvSpPr>
            <xdr:cNvPr id="59" name="текст_ФонКурса" descr="Фон">
              <a:extLst>
                <a:ext uri="{FF2B5EF4-FFF2-40B4-BE49-F238E27FC236}">
                  <a16:creationId xmlns:a16="http://schemas.microsoft.com/office/drawing/2014/main" id="{746CE660-670F-48DE-9B5A-8F87BB149114}"/>
                </a:ext>
              </a:extLst>
            </xdr:cNvPr>
            <xdr:cNvSpPr/>
          </xdr:nvSpPr>
          <xdr:spPr>
            <a:xfrm>
              <a:off x="609600" y="1523999"/>
              <a:ext cx="5695950" cy="4765642"/>
            </a:xfrm>
            <a:prstGeom prst="rect">
              <a:avLst/>
            </a:prstGeom>
            <a:solidFill>
              <a:srgbClr val="F5F5F5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endParaRPr lang="en-US" sz="2200">
                <a:solidFill>
                  <a:sysClr val="windowText" lastClr="000000"/>
                </a:solidFill>
                <a:latin typeface="Segoe UI Light" panose="020B0502040204020203" pitchFamily="34" charset="0"/>
                <a:cs typeface="Segoe UI Light" panose="020B0502040204020203" pitchFamily="34" charset="0"/>
              </a:endParaRPr>
            </a:p>
          </xdr:txBody>
        </xdr:sp>
        <xdr:sp macro="" textlink="">
          <xdr:nvSpPr>
            <xdr:cNvPr id="60" name="текст_ЗаголовокКурса" descr="Объединение текста и чисел">
              <a:extLst>
                <a:ext uri="{FF2B5EF4-FFF2-40B4-BE49-F238E27FC236}">
                  <a16:creationId xmlns:a16="http://schemas.microsoft.com/office/drawing/2014/main" id="{F438F1EF-277F-41AD-BA1E-1D4C10A4E576}"/>
                </a:ext>
              </a:extLst>
            </xdr:cNvPr>
            <xdr:cNvSpPr txBox="1"/>
          </xdr:nvSpPr>
          <xdr:spPr>
            <a:xfrm>
              <a:off x="849300" y="1619249"/>
              <a:ext cx="5216551" cy="4858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rIns="0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22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 Light" panose="020B0502040204020203" pitchFamily="34" charset="0"/>
                  <a:ea typeface="Segoe UI" pitchFamily="34" charset="0"/>
                  <a:cs typeface="Segoe UI Light" panose="020B0502040204020203" pitchFamily="34" charset="0"/>
                </a:rPr>
                <a:t>Объединение текста и чисел</a:t>
              </a:r>
            </a:p>
          </xdr:txBody>
        </xdr:sp>
        <xdr:cxnSp macro="">
          <xdr:nvCxnSpPr>
            <xdr:cNvPr id="61" name="текст_Курсстрока1" descr="Декоративная линия">
              <a:extLst>
                <a:ext uri="{FF2B5EF4-FFF2-40B4-BE49-F238E27FC236}">
                  <a16:creationId xmlns:a16="http://schemas.microsoft.com/office/drawing/2014/main" id="{DDC3CCDC-6AE4-46BD-AE52-501D8F2D8750}"/>
                </a:ext>
              </a:extLst>
            </xdr:cNvPr>
            <xdr:cNvCxnSpPr>
              <a:cxnSpLocks/>
            </xdr:cNvCxnSpPr>
          </xdr:nvCxnSpPr>
          <xdr:spPr>
            <a:xfrm>
              <a:off x="850887" y="2190751"/>
              <a:ext cx="5213376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" name="текст_Курсстрока2" descr="Декоративная линия">
              <a:extLst>
                <a:ext uri="{FF2B5EF4-FFF2-40B4-BE49-F238E27FC236}">
                  <a16:creationId xmlns:a16="http://schemas.microsoft.com/office/drawing/2014/main" id="{A29D6EA9-B97F-4F30-9031-1B1934F6D015}"/>
                </a:ext>
              </a:extLst>
            </xdr:cNvPr>
            <xdr:cNvCxnSpPr>
              <a:cxnSpLocks/>
            </xdr:cNvCxnSpPr>
          </xdr:nvCxnSpPr>
          <xdr:spPr>
            <a:xfrm>
              <a:off x="850887" y="5547671"/>
              <a:ext cx="5213376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3" name="текст_КурсВведение" descr="Попробуем объединить с помощью оператора &amp; не только текстовые строки, но и числа.&#10;&#10;Взгляните на диапазон C28:D29. Значения даты и времени указаны в разных ячейках. Их можно объединить с помощью символа &amp;, но результат в ячейках C32:C33 не слишком радует. К сожалению, Excel не знает, как вы хотите отформатировать числа, поэтому представляет их в базовом формате. В данном случае это порядковый номер даты. Нужно в явном виде указать, как следует отформатировать число в формуле. Для этого можно использовать функцию ТЕКСТ и код формата.&#10;">
              <a:extLst>
                <a:ext uri="{FF2B5EF4-FFF2-40B4-BE49-F238E27FC236}">
                  <a16:creationId xmlns:a16="http://schemas.microsoft.com/office/drawing/2014/main" id="{C837975A-6100-4DEA-8950-C7ADB7AEACCB}"/>
                </a:ext>
              </a:extLst>
            </xdr:cNvPr>
            <xdr:cNvSpPr txBox="1"/>
          </xdr:nvSpPr>
          <xdr:spPr>
            <a:xfrm>
              <a:off x="846305" y="2224166"/>
              <a:ext cx="5216551" cy="19371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rIns="0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Попробуем объединить с помощью оператора &amp; не только текстовые строки, но и числа.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Взгляните на диапазон C28:D29. Значения даты и времени указаны в разных ячейках. Их можно объединить с помощью символа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&amp;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 но результат в ячейках C32:C33 не слишком радует. К сожалению, Excel не знает, как вы хотите отформатировать числа, поэтому представляет их в базовом формате. В данном случае это порядковый номер даты. Нужно в явном виде указать, как следует отформатировать число в формуле. Для этого можно использовать функцию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ТЕКСТ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и код формата.</a:t>
              </a:r>
            </a:p>
          </xdr:txBody>
        </xdr:sp>
      </xdr:grpSp>
      <xdr:grpSp>
        <xdr:nvGrpSpPr>
          <xdr:cNvPr id="64" name="группа_Шаг">
            <a:extLst>
              <a:ext uri="{FF2B5EF4-FFF2-40B4-BE49-F238E27FC236}">
                <a16:creationId xmlns:a16="http://schemas.microsoft.com/office/drawing/2014/main" id="{C6BDB8A3-21FE-4EAA-A451-F595D7A1CFD1}"/>
              </a:ext>
            </a:extLst>
          </xdr:cNvPr>
          <xdr:cNvGrpSpPr/>
        </xdr:nvGrpSpPr>
        <xdr:grpSpPr>
          <a:xfrm>
            <a:off x="561975" y="7791450"/>
            <a:ext cx="4895851" cy="596207"/>
            <a:chOff x="619063" y="8001000"/>
            <a:chExt cx="4864087" cy="596207"/>
          </a:xfrm>
        </xdr:grpSpPr>
        <xdr:sp macro="" textlink="">
          <xdr:nvSpPr>
            <xdr:cNvPr id="65" name="текст_Шаг" descr="В ячейке C36 введите =C28&amp;&quot; &quot;&amp;ТЕКСТ(D28;&quot;ДД.ММ.ГГГГ&quot;). ДД.ММ.ГГГГ — это русский формат даты, например 23.09.2017.&#10;&#10;">
              <a:extLst>
                <a:ext uri="{FF2B5EF4-FFF2-40B4-BE49-F238E27FC236}">
                  <a16:creationId xmlns:a16="http://schemas.microsoft.com/office/drawing/2014/main" id="{DDE71C24-EA69-4FB1-9319-E270E463554C}"/>
                </a:ext>
              </a:extLst>
            </xdr:cNvPr>
            <xdr:cNvSpPr txBox="1"/>
          </xdr:nvSpPr>
          <xdr:spPr>
            <a:xfrm>
              <a:off x="1036221" y="8042958"/>
              <a:ext cx="4446929" cy="554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 ячейке C36 введите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=C28&amp;" "&amp;ТЕКСТ(D28;"</a:t>
              </a:r>
              <a:r>
                <a:rPr lang="ru-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ДД</a:t>
              </a:r>
              <a:r>
                <a:rPr lang="en-US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-</a:t>
              </a:r>
              <a:r>
                <a:rPr lang="ru-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ММ</a:t>
              </a:r>
              <a:r>
                <a:rPr lang="en-US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-</a:t>
              </a:r>
              <a:r>
                <a:rPr lang="ru-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ГГГГ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")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</a:t>
              </a:r>
              <a:r>
                <a:rPr lang="ru-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ДД-ММ-ГГГГ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— это русский формат даты, например 23</a:t>
              </a:r>
              <a:r>
                <a:rPr lang="en-US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-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09</a:t>
              </a:r>
              <a:r>
                <a:rPr lang="en-US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-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2017.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66" name="фигура_Шаг" descr="1">
              <a:extLst>
                <a:ext uri="{FF2B5EF4-FFF2-40B4-BE49-F238E27FC236}">
                  <a16:creationId xmlns:a16="http://schemas.microsoft.com/office/drawing/2014/main" id="{8E23CA67-4E1A-43D7-84B1-192836614566}"/>
                </a:ext>
              </a:extLst>
            </xdr:cNvPr>
            <xdr:cNvSpPr/>
          </xdr:nvSpPr>
          <xdr:spPr>
            <a:xfrm>
              <a:off x="619063" y="8001000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1</a:t>
              </a:r>
            </a:p>
          </xdr:txBody>
        </xdr:sp>
      </xdr:grpSp>
      <xdr:grpSp>
        <xdr:nvGrpSpPr>
          <xdr:cNvPr id="67" name="группа_Шаг">
            <a:extLst>
              <a:ext uri="{FF2B5EF4-FFF2-40B4-BE49-F238E27FC236}">
                <a16:creationId xmlns:a16="http://schemas.microsoft.com/office/drawing/2014/main" id="{400221E8-F2AA-445E-86DD-DDE14B5B3DC8}"/>
              </a:ext>
            </a:extLst>
          </xdr:cNvPr>
          <xdr:cNvGrpSpPr/>
        </xdr:nvGrpSpPr>
        <xdr:grpSpPr>
          <a:xfrm>
            <a:off x="561975" y="8372475"/>
            <a:ext cx="5229626" cy="596207"/>
            <a:chOff x="619063" y="8001000"/>
            <a:chExt cx="5195697" cy="596207"/>
          </a:xfrm>
        </xdr:grpSpPr>
        <xdr:sp macro="" textlink="">
          <xdr:nvSpPr>
            <xdr:cNvPr id="68" name="текст_Шаг" descr="В ячейке C37 введите =C29&amp;&quot; &quot;&amp;ТЕКСТ(D29;&quot;ЧЧ:ММ&quot;). ЧЧ:ММ — это русский формат времени, например 13:30.&#10;">
              <a:extLst>
                <a:ext uri="{FF2B5EF4-FFF2-40B4-BE49-F238E27FC236}">
                  <a16:creationId xmlns:a16="http://schemas.microsoft.com/office/drawing/2014/main" id="{CEB49487-C445-4B69-9112-51698E7250F2}"/>
                </a:ext>
              </a:extLst>
            </xdr:cNvPr>
            <xdr:cNvSpPr txBox="1"/>
          </xdr:nvSpPr>
          <xdr:spPr>
            <a:xfrm>
              <a:off x="1036221" y="8042958"/>
              <a:ext cx="4778539" cy="554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 ячейке C37 введите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=C29&amp;" "&amp;ТЕКСТ(D29;"</a:t>
              </a:r>
              <a:r>
                <a:rPr lang="ru-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ч:мм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")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</a:t>
              </a:r>
              <a:r>
                <a:rPr lang="ru-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ч:мм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— это русский формат времени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 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например 13:30.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69" name="фигура_Шаг" descr="2">
              <a:extLst>
                <a:ext uri="{FF2B5EF4-FFF2-40B4-BE49-F238E27FC236}">
                  <a16:creationId xmlns:a16="http://schemas.microsoft.com/office/drawing/2014/main" id="{D170A5A8-EB2A-420E-AFF9-3414BA79F7BF}"/>
                </a:ext>
              </a:extLst>
            </xdr:cNvPr>
            <xdr:cNvSpPr/>
          </xdr:nvSpPr>
          <xdr:spPr>
            <a:xfrm>
              <a:off x="619063" y="8001000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2</a:t>
              </a:r>
            </a:p>
          </xdr:txBody>
        </xdr:sp>
      </xdr:grpSp>
    </xdr:grpSp>
    <xdr:clientData/>
  </xdr:twoCellAnchor>
  <xdr:twoCellAnchor editAs="absolute">
    <xdr:from>
      <xdr:col>0</xdr:col>
      <xdr:colOff>542925</xdr:colOff>
      <xdr:row>45</xdr:row>
      <xdr:rowOff>66675</xdr:rowOff>
    </xdr:from>
    <xdr:to>
      <xdr:col>1</xdr:col>
      <xdr:colOff>970370</xdr:colOff>
      <xdr:row>47</xdr:row>
      <xdr:rowOff>21124</xdr:rowOff>
    </xdr:to>
    <xdr:sp macro="" textlink="">
      <xdr:nvSpPr>
        <xdr:cNvPr id="70" name="Кнопка«Назад»" descr="Вернуться на предыдущий лист">
          <a:hlinkClick xmlns:r="http://schemas.openxmlformats.org/officeDocument/2006/relationships" r:id="rId1" tooltip="Щелкните здесь, чтобы вернуться на предыдущий лист"/>
          <a:extLst>
            <a:ext uri="{FF2B5EF4-FFF2-40B4-BE49-F238E27FC236}">
              <a16:creationId xmlns:a16="http://schemas.microsoft.com/office/drawing/2014/main" id="{DCA6AC04-F66C-44EC-86B5-CE167DBCCA5F}"/>
            </a:ext>
          </a:extLst>
        </xdr:cNvPr>
        <xdr:cNvSpPr/>
      </xdr:nvSpPr>
      <xdr:spPr>
        <a:xfrm flipH="1">
          <a:off x="542925" y="9210675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/>
  </xdr:twoCellAnchor>
  <xdr:twoCellAnchor editAs="absolute">
    <xdr:from>
      <xdr:col>1</xdr:col>
      <xdr:colOff>3713211</xdr:colOff>
      <xdr:row>45</xdr:row>
      <xdr:rowOff>66675</xdr:rowOff>
    </xdr:from>
    <xdr:to>
      <xdr:col>1</xdr:col>
      <xdr:colOff>4988381</xdr:colOff>
      <xdr:row>47</xdr:row>
      <xdr:rowOff>21124</xdr:rowOff>
    </xdr:to>
    <xdr:sp macro="" textlink="">
      <xdr:nvSpPr>
        <xdr:cNvPr id="71" name="Кнопка«Далее»" descr="Перейти к следующему листу">
          <a:hlinkClick xmlns:r="http://schemas.openxmlformats.org/officeDocument/2006/relationships" r:id="rId2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625A78A7-925A-4E8E-B9FF-D88914AFC403}"/>
            </a:ext>
          </a:extLst>
        </xdr:cNvPr>
        <xdr:cNvSpPr/>
      </xdr:nvSpPr>
      <xdr:spPr>
        <a:xfrm>
          <a:off x="4560936" y="9210675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/>
  </xdr:twoCellAnchor>
  <xdr:twoCellAnchor editAs="absolute">
    <xdr:from>
      <xdr:col>1</xdr:col>
      <xdr:colOff>5453062</xdr:colOff>
      <xdr:row>41</xdr:row>
      <xdr:rowOff>123825</xdr:rowOff>
    </xdr:from>
    <xdr:to>
      <xdr:col>4</xdr:col>
      <xdr:colOff>102128</xdr:colOff>
      <xdr:row>50</xdr:row>
      <xdr:rowOff>124884</xdr:rowOff>
    </xdr:to>
    <xdr:grpSp>
      <xdr:nvGrpSpPr>
        <xdr:cNvPr id="72" name="СЛЕДУЕТ ЗНАТЬ" descr="СЛЕДУЕТ ЗНАТЬ">
          <a:extLst>
            <a:ext uri="{FF2B5EF4-FFF2-40B4-BE49-F238E27FC236}">
              <a16:creationId xmlns:a16="http://schemas.microsoft.com/office/drawing/2014/main" id="{D3F697DB-2CF8-4D23-9E17-2125613D49A8}"/>
            </a:ext>
          </a:extLst>
        </xdr:cNvPr>
        <xdr:cNvGrpSpPr/>
      </xdr:nvGrpSpPr>
      <xdr:grpSpPr>
        <a:xfrm>
          <a:off x="6300787" y="8505825"/>
          <a:ext cx="3335866" cy="1715559"/>
          <a:chOff x="8477250" y="8591549"/>
          <a:chExt cx="3314700" cy="1504951"/>
        </a:xfrm>
      </xdr:grpSpPr>
      <xdr:pic>
        <xdr:nvPicPr>
          <xdr:cNvPr id="73" name="Графический объект 9" descr="Турист">
            <a:extLst>
              <a:ext uri="{FF2B5EF4-FFF2-40B4-BE49-F238E27FC236}">
                <a16:creationId xmlns:a16="http://schemas.microsoft.com/office/drawing/2014/main" id="{829EB315-A788-42EB-B289-F1DA2DD24D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477250" y="8682899"/>
            <a:ext cx="420378" cy="420378"/>
          </a:xfrm>
          <a:prstGeom prst="rect">
            <a:avLst/>
          </a:prstGeom>
        </xdr:spPr>
      </xdr:pic>
      <xdr:sp macro="" textlink="">
        <xdr:nvSpPr>
          <xdr:cNvPr id="74" name="Шаг" descr="СЛЕДУЕТ ЗНАТЬ&#10;Если вы не знаете, какой код формата использовать, нажмите клавиши CTRL+1 и выберите формат на вкладке «Число».  Затем щелкните «(все форматы)». Вы можете скопировать нужный код формата в формулу.&#10;">
            <a:extLst>
              <a:ext uri="{FF2B5EF4-FFF2-40B4-BE49-F238E27FC236}">
                <a16:creationId xmlns:a16="http://schemas.microsoft.com/office/drawing/2014/main" id="{BC87D05D-D577-47CD-A73D-3022C632DAF8}"/>
              </a:ext>
            </a:extLst>
          </xdr:cNvPr>
          <xdr:cNvSpPr txBox="1"/>
        </xdr:nvSpPr>
        <xdr:spPr>
          <a:xfrm>
            <a:off x="8783628" y="8591549"/>
            <a:ext cx="3008322" cy="1504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СЛЕДУЕТ ЗНАТЬ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ru" sz="1100" kern="0">
                <a:solidFill>
                  <a:schemeClr val="bg2">
                    <a:lumMod val="25000"/>
                  </a:schemeClr>
                </a:solidFill>
                <a:ea typeface="Segoe UI" pitchFamily="34" charset="0"/>
                <a:cs typeface="Segoe UI Light" panose="020B0502040204020203" pitchFamily="34" charset="0"/>
              </a:rPr>
              <a:t>Если вы не знаете, какой код формата использовать, нажмите клавиши </a:t>
            </a:r>
            <a:r>
              <a:rPr lang="ru" sz="1100" b="1" kern="0">
                <a:solidFill>
                  <a:schemeClr val="bg2">
                    <a:lumMod val="25000"/>
                  </a:schemeClr>
                </a:solidFill>
                <a:ea typeface="Segoe UI" pitchFamily="34" charset="0"/>
                <a:cs typeface="Segoe UI Light" panose="020B0502040204020203" pitchFamily="34" charset="0"/>
              </a:rPr>
              <a:t>CTRL+1</a:t>
            </a:r>
            <a:r>
              <a:rPr lang="ru" sz="1100" kern="0">
                <a:solidFill>
                  <a:schemeClr val="bg2">
                    <a:lumMod val="25000"/>
                  </a:schemeClr>
                </a:solidFill>
                <a:ea typeface="Segoe UI" pitchFamily="34" charset="0"/>
                <a:cs typeface="Segoe UI Light" panose="020B0502040204020203" pitchFamily="34" charset="0"/>
              </a:rPr>
              <a:t> и выберите формат на вкладке </a:t>
            </a:r>
            <a:r>
              <a:rPr lang="ru" sz="1100" b="1" kern="0">
                <a:solidFill>
                  <a:schemeClr val="bg2">
                    <a:lumMod val="25000"/>
                  </a:schemeClr>
                </a:solidFill>
                <a:ea typeface="Segoe UI" pitchFamily="34" charset="0"/>
                <a:cs typeface="Segoe UI Light" panose="020B0502040204020203" pitchFamily="34" charset="0"/>
              </a:rPr>
              <a:t>Число</a:t>
            </a:r>
            <a:r>
              <a:rPr lang="ru" sz="1100" kern="0">
                <a:solidFill>
                  <a:schemeClr val="bg2">
                    <a:lumMod val="25000"/>
                  </a:schemeClr>
                </a:solidFill>
                <a:ea typeface="Segoe UI" pitchFamily="34" charset="0"/>
                <a:cs typeface="Segoe UI Light" panose="020B0502040204020203" pitchFamily="34" charset="0"/>
              </a:rPr>
              <a:t>.  Затем щелкните </a:t>
            </a:r>
            <a:r>
              <a:rPr lang="ru" sz="1100" b="1" kern="0">
                <a:solidFill>
                  <a:schemeClr val="bg2">
                    <a:lumMod val="25000"/>
                  </a:schemeClr>
                </a:solidFill>
                <a:ea typeface="Segoe UI" pitchFamily="34" charset="0"/>
                <a:cs typeface="Segoe UI Light" panose="020B0502040204020203" pitchFamily="34" charset="0"/>
              </a:rPr>
              <a:t>(все форматы)</a:t>
            </a:r>
            <a:r>
              <a:rPr lang="ru" sz="1100" b="0" kern="0">
                <a:solidFill>
                  <a:schemeClr val="bg2">
                    <a:lumMod val="25000"/>
                  </a:schemeClr>
                </a:solidFill>
                <a:ea typeface="Segoe UI" pitchFamily="34" charset="0"/>
                <a:cs typeface="Segoe UI Light" panose="020B0502040204020203" pitchFamily="34" charset="0"/>
              </a:rPr>
              <a:t>.</a:t>
            </a:r>
            <a:r>
              <a:rPr lang="ru" sz="1100" kern="0">
                <a:solidFill>
                  <a:schemeClr val="bg2">
                    <a:lumMod val="25000"/>
                  </a:schemeClr>
                </a:solidFill>
                <a:ea typeface="Segoe UI" pitchFamily="34" charset="0"/>
                <a:cs typeface="Segoe UI Light" panose="020B0502040204020203" pitchFamily="34" charset="0"/>
              </a:rPr>
              <a:t> Вы можете скопировать нужный код формата в формулу.</a:t>
            </a:r>
            <a:endParaRPr lang="en-US" sz="1100" b="0" i="0">
              <a:solidFill>
                <a:schemeClr val="bg2">
                  <a:lumMod val="25000"/>
                </a:schemeClr>
              </a:solidFill>
              <a:effectLst/>
              <a:latin typeface="+mn-lt"/>
              <a:ea typeface="Segoe UI" pitchFamily="34" charset="0"/>
              <a:cs typeface="Segoe UI Light" panose="020B0502040204020203" pitchFamily="34" charset="0"/>
            </a:endParaRPr>
          </a:p>
        </xdr:txBody>
      </xdr:sp>
    </xdr:grpSp>
    <xdr:clientData/>
  </xdr:twoCellAnchor>
  <xdr:twoCellAnchor>
    <xdr:from>
      <xdr:col>0</xdr:col>
      <xdr:colOff>323850</xdr:colOff>
      <xdr:row>48</xdr:row>
      <xdr:rowOff>104773</xdr:rowOff>
    </xdr:from>
    <xdr:to>
      <xdr:col>1</xdr:col>
      <xdr:colOff>5209413</xdr:colOff>
      <xdr:row>59</xdr:row>
      <xdr:rowOff>97273</xdr:rowOff>
    </xdr:to>
    <xdr:grpSp>
      <xdr:nvGrpSpPr>
        <xdr:cNvPr id="110" name="Группа 109">
          <a:extLst>
            <a:ext uri="{FF2B5EF4-FFF2-40B4-BE49-F238E27FC236}">
              <a16:creationId xmlns:a16="http://schemas.microsoft.com/office/drawing/2014/main" id="{AB7C580B-2584-48A5-99EE-E42C35C6718F}"/>
            </a:ext>
          </a:extLst>
        </xdr:cNvPr>
        <xdr:cNvGrpSpPr/>
      </xdr:nvGrpSpPr>
      <xdr:grpSpPr>
        <a:xfrm>
          <a:off x="323850" y="9820273"/>
          <a:ext cx="5733288" cy="2088000"/>
          <a:chOff x="323850" y="9629773"/>
          <a:chExt cx="5733288" cy="2088000"/>
        </a:xfrm>
      </xdr:grpSpPr>
      <xdr:sp macro="" textlink="">
        <xdr:nvSpPr>
          <xdr:cNvPr id="76" name="Прямоугольник 75">
            <a:extLst>
              <a:ext uri="{FF2B5EF4-FFF2-40B4-BE49-F238E27FC236}">
                <a16:creationId xmlns:a16="http://schemas.microsoft.com/office/drawing/2014/main" id="{A1C66F55-2FE6-47A1-9A10-00B61B3F4F9A}"/>
              </a:ext>
            </a:extLst>
          </xdr:cNvPr>
          <xdr:cNvSpPr/>
        </xdr:nvSpPr>
        <xdr:spPr>
          <a:xfrm>
            <a:off x="323850" y="9629773"/>
            <a:ext cx="5733288" cy="2088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/>
          </a:p>
        </xdr:txBody>
      </xdr:sp>
      <xdr:sp macro="" textlink="">
        <xdr:nvSpPr>
          <xdr:cNvPr id="77" name="Шаг" descr="Дополнительные сведения в Интернете&#10;">
            <a:extLst>
              <a:ext uri="{FF2B5EF4-FFF2-40B4-BE49-F238E27FC236}">
                <a16:creationId xmlns:a16="http://schemas.microsoft.com/office/drawing/2014/main" id="{59574A4F-7EEC-490A-8146-89F13E39510D}"/>
              </a:ext>
            </a:extLst>
          </xdr:cNvPr>
          <xdr:cNvSpPr txBox="1"/>
        </xdr:nvSpPr>
        <xdr:spPr>
          <a:xfrm>
            <a:off x="555440" y="9729487"/>
            <a:ext cx="5254218" cy="3963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Дополнительные сведения в Интернете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cxnSp macro="">
        <xdr:nvCxnSpPr>
          <xdr:cNvPr id="78" name="Прямая соединительная линия 77" descr="Декоративная линия">
            <a:extLst>
              <a:ext uri="{FF2B5EF4-FFF2-40B4-BE49-F238E27FC236}">
                <a16:creationId xmlns:a16="http://schemas.microsoft.com/office/drawing/2014/main" id="{6A596E50-2AB3-4D41-8DBA-1063C5CB2B61}"/>
              </a:ext>
            </a:extLst>
          </xdr:cNvPr>
          <xdr:cNvCxnSpPr>
            <a:cxnSpLocks/>
          </xdr:cNvCxnSpPr>
        </xdr:nvCxnSpPr>
        <xdr:spPr>
          <a:xfrm>
            <a:off x="558613" y="10149257"/>
            <a:ext cx="525104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Прямая соединительная линия 78" descr="Декоративная линия">
            <a:extLst>
              <a:ext uri="{FF2B5EF4-FFF2-40B4-BE49-F238E27FC236}">
                <a16:creationId xmlns:a16="http://schemas.microsoft.com/office/drawing/2014/main" id="{B8761578-98DC-4BEB-87DA-3B4817D9D067}"/>
              </a:ext>
            </a:extLst>
          </xdr:cNvPr>
          <xdr:cNvCxnSpPr>
            <a:cxnSpLocks/>
          </xdr:cNvCxnSpPr>
        </xdr:nvCxnSpPr>
        <xdr:spPr>
          <a:xfrm>
            <a:off x="558613" y="11483133"/>
            <a:ext cx="5251046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535207</xdr:colOff>
      <xdr:row>51</xdr:row>
      <xdr:rowOff>104951</xdr:rowOff>
    </xdr:from>
    <xdr:to>
      <xdr:col>1</xdr:col>
      <xdr:colOff>2572868</xdr:colOff>
      <xdr:row>53</xdr:row>
      <xdr:rowOff>80567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56EB2164-D147-400B-8F32-5162F0FB9573}"/>
            </a:ext>
          </a:extLst>
        </xdr:cNvPr>
        <xdr:cNvGrpSpPr/>
      </xdr:nvGrpSpPr>
      <xdr:grpSpPr>
        <a:xfrm>
          <a:off x="535207" y="10391951"/>
          <a:ext cx="2885386" cy="356616"/>
          <a:chOff x="535207" y="10201451"/>
          <a:chExt cx="2885386" cy="356616"/>
        </a:xfrm>
      </xdr:grpSpPr>
      <xdr:sp macro="" textlink="">
        <xdr:nvSpPr>
          <xdr:cNvPr id="80" name="Шаг" descr="Все о функции ТЕКСТ&#10;&#10;&#10;">
            <a:hlinkClick xmlns:r="http://schemas.openxmlformats.org/officeDocument/2006/relationships" r:id="rId5" tooltip="Подробные сведения о функции ТЕКСТ в Интернете"/>
            <a:extLst>
              <a:ext uri="{FF2B5EF4-FFF2-40B4-BE49-F238E27FC236}">
                <a16:creationId xmlns:a16="http://schemas.microsoft.com/office/drawing/2014/main" id="{1C41B6F8-B5BE-4607-9781-910A4AB378C7}"/>
              </a:ext>
            </a:extLst>
          </xdr:cNvPr>
          <xdr:cNvSpPr txBox="1"/>
        </xdr:nvSpPr>
        <xdr:spPr>
          <a:xfrm>
            <a:off x="1003442" y="10276156"/>
            <a:ext cx="2417151" cy="2551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ТЕКСТ</a:t>
            </a:r>
          </a:p>
        </xdr:txBody>
      </xdr:sp>
      <xdr:pic>
        <xdr:nvPicPr>
          <xdr:cNvPr id="81" name="Графический объект 22" descr="Стрелка">
            <a:hlinkClick xmlns:r="http://schemas.openxmlformats.org/officeDocument/2006/relationships" r:id="rId5" tooltip="Дополнительные сведения в Интернете"/>
            <a:extLst>
              <a:ext uri="{FF2B5EF4-FFF2-40B4-BE49-F238E27FC236}">
                <a16:creationId xmlns:a16="http://schemas.microsoft.com/office/drawing/2014/main" id="{F05C84C5-98EF-42AB-8858-51A6BB3C7B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35207" y="10201451"/>
            <a:ext cx="489823" cy="3566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535207</xdr:colOff>
      <xdr:row>53</xdr:row>
      <xdr:rowOff>126167</xdr:rowOff>
    </xdr:from>
    <xdr:to>
      <xdr:col>1</xdr:col>
      <xdr:colOff>2601630</xdr:colOff>
      <xdr:row>55</xdr:row>
      <xdr:rowOff>101783</xdr:rowOff>
    </xdr:to>
    <xdr:grpSp>
      <xdr:nvGrpSpPr>
        <xdr:cNvPr id="28" name="Группа 27">
          <a:extLst>
            <a:ext uri="{FF2B5EF4-FFF2-40B4-BE49-F238E27FC236}">
              <a16:creationId xmlns:a16="http://schemas.microsoft.com/office/drawing/2014/main" id="{EA729A85-5078-41D7-B98C-429FBA889789}"/>
            </a:ext>
          </a:extLst>
        </xdr:cNvPr>
        <xdr:cNvGrpSpPr/>
      </xdr:nvGrpSpPr>
      <xdr:grpSpPr>
        <a:xfrm>
          <a:off x="535207" y="10794167"/>
          <a:ext cx="2914148" cy="356616"/>
          <a:chOff x="535207" y="10603667"/>
          <a:chExt cx="2914148" cy="356616"/>
        </a:xfrm>
      </xdr:grpSpPr>
      <xdr:sp macro="" textlink="">
        <xdr:nvSpPr>
          <xdr:cNvPr id="82" name="Шаг" descr="Гиперссылка на веб-страницу об объединении текста и чисел&#10;">
            <a:hlinkClick xmlns:r="http://schemas.openxmlformats.org/officeDocument/2006/relationships" r:id="rId8" tooltip="Сведения в Интернете об объединении текста и чисел"/>
            <a:extLst>
              <a:ext uri="{FF2B5EF4-FFF2-40B4-BE49-F238E27FC236}">
                <a16:creationId xmlns:a16="http://schemas.microsoft.com/office/drawing/2014/main" id="{FA1B0051-EB9E-450B-84EA-BC5280225915}"/>
              </a:ext>
            </a:extLst>
          </xdr:cNvPr>
          <xdr:cNvSpPr txBox="1"/>
        </xdr:nvSpPr>
        <xdr:spPr>
          <a:xfrm>
            <a:off x="1003442" y="10655787"/>
            <a:ext cx="2445913" cy="233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Объединение текста</a:t>
            </a:r>
            <a:r>
              <a:rPr lang="ru" sz="1100" u="sng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и чисел</a:t>
            </a:r>
            <a:endParaRPr lang="en-US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83" name="Графический объект 22" descr="Стрелка">
            <a:hlinkClick xmlns:r="http://schemas.openxmlformats.org/officeDocument/2006/relationships" r:id="rId8" tooltip="Дополнительные сведения в Интернете"/>
            <a:extLst>
              <a:ext uri="{FF2B5EF4-FFF2-40B4-BE49-F238E27FC236}">
                <a16:creationId xmlns:a16="http://schemas.microsoft.com/office/drawing/2014/main" id="{E3511488-D6E7-403B-B5D4-738E7C257B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35207" y="10603667"/>
            <a:ext cx="482685" cy="3566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547899</xdr:colOff>
      <xdr:row>55</xdr:row>
      <xdr:rowOff>152717</xdr:rowOff>
    </xdr:from>
    <xdr:to>
      <xdr:col>1</xdr:col>
      <xdr:colOff>3086099</xdr:colOff>
      <xdr:row>57</xdr:row>
      <xdr:rowOff>128333</xdr:rowOff>
    </xdr:to>
    <xdr:grpSp>
      <xdr:nvGrpSpPr>
        <xdr:cNvPr id="19" name="Группа 18">
          <a:extLst>
            <a:ext uri="{FF2B5EF4-FFF2-40B4-BE49-F238E27FC236}">
              <a16:creationId xmlns:a16="http://schemas.microsoft.com/office/drawing/2014/main" id="{8908DE80-CBDC-46BF-A1D9-D258E3790FF2}"/>
            </a:ext>
          </a:extLst>
        </xdr:cNvPr>
        <xdr:cNvGrpSpPr/>
      </xdr:nvGrpSpPr>
      <xdr:grpSpPr>
        <a:xfrm>
          <a:off x="547899" y="11201717"/>
          <a:ext cx="3385925" cy="356616"/>
          <a:chOff x="547899" y="11011217"/>
          <a:chExt cx="3385925" cy="356616"/>
        </a:xfrm>
      </xdr:grpSpPr>
      <xdr:sp macro="" textlink="">
        <xdr:nvSpPr>
          <xdr:cNvPr id="84" name="Шаг" descr="Гиперссылка на бесплатные учебные веб-курсы по Excel&#10;">
            <a:hlinkClick xmlns:r="http://schemas.openxmlformats.org/officeDocument/2006/relationships" r:id="rId9" tooltip="Сведения о бесплатных учебных веб-курсах по Excel"/>
            <a:extLst>
              <a:ext uri="{FF2B5EF4-FFF2-40B4-BE49-F238E27FC236}">
                <a16:creationId xmlns:a16="http://schemas.microsoft.com/office/drawing/2014/main" id="{135564DB-95BA-4D69-9BB4-47DFF364A7BC}"/>
              </a:ext>
            </a:extLst>
          </xdr:cNvPr>
          <xdr:cNvSpPr txBox="1"/>
        </xdr:nvSpPr>
        <xdr:spPr>
          <a:xfrm>
            <a:off x="1016131" y="11062558"/>
            <a:ext cx="2917693" cy="2497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Бесплатные учебные веб-курсы по Excel</a:t>
            </a:r>
          </a:p>
        </xdr:txBody>
      </xdr:sp>
      <xdr:pic>
        <xdr:nvPicPr>
          <xdr:cNvPr id="85" name="Графический объект 22" descr="Стрелка">
            <a:hlinkClick xmlns:r="http://schemas.openxmlformats.org/officeDocument/2006/relationships" r:id="rId9" tooltip="Дополнительные сведения в Интернете"/>
            <a:extLst>
              <a:ext uri="{FF2B5EF4-FFF2-40B4-BE49-F238E27FC236}">
                <a16:creationId xmlns:a16="http://schemas.microsoft.com/office/drawing/2014/main" id="{AA546C46-C995-4176-9059-E4AB72A3A1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47899" y="11011217"/>
            <a:ext cx="482685" cy="3566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333375</xdr:colOff>
      <xdr:row>0</xdr:row>
      <xdr:rowOff>352425</xdr:rowOff>
    </xdr:from>
    <xdr:to>
      <xdr:col>1</xdr:col>
      <xdr:colOff>5219700</xdr:colOff>
      <xdr:row>22</xdr:row>
      <xdr:rowOff>161925</xdr:rowOff>
    </xdr:to>
    <xdr:grpSp>
      <xdr:nvGrpSpPr>
        <xdr:cNvPr id="86" name="Группа 85">
          <a:extLst>
            <a:ext uri="{FF2B5EF4-FFF2-40B4-BE49-F238E27FC236}">
              <a16:creationId xmlns:a16="http://schemas.microsoft.com/office/drawing/2014/main" id="{95BF5A4D-3D39-4151-ADB7-3BD1C77C7AAA}"/>
            </a:ext>
          </a:extLst>
        </xdr:cNvPr>
        <xdr:cNvGrpSpPr/>
      </xdr:nvGrpSpPr>
      <xdr:grpSpPr>
        <a:xfrm>
          <a:off x="333375" y="352425"/>
          <a:ext cx="5734050" cy="4572000"/>
          <a:chOff x="0" y="0"/>
          <a:chExt cx="5734050" cy="4572000"/>
        </a:xfrm>
      </xdr:grpSpPr>
      <xdr:grpSp>
        <xdr:nvGrpSpPr>
          <xdr:cNvPr id="87" name="Группа_ОбластьКурса">
            <a:extLst>
              <a:ext uri="{FF2B5EF4-FFF2-40B4-BE49-F238E27FC236}">
                <a16:creationId xmlns:a16="http://schemas.microsoft.com/office/drawing/2014/main" id="{A96CA760-E119-42E0-81B0-6FF77D9AC3C8}"/>
              </a:ext>
            </a:extLst>
          </xdr:cNvPr>
          <xdr:cNvGrpSpPr/>
        </xdr:nvGrpSpPr>
        <xdr:grpSpPr>
          <a:xfrm>
            <a:off x="0" y="0"/>
            <a:ext cx="5734050" cy="4572000"/>
            <a:chOff x="609600" y="1524000"/>
            <a:chExt cx="5695950" cy="4572000"/>
          </a:xfrm>
        </xdr:grpSpPr>
        <xdr:sp macro="" textlink="">
          <xdr:nvSpPr>
            <xdr:cNvPr id="97" name="текст_ФонКурса" descr="Фон">
              <a:extLst>
                <a:ext uri="{FF2B5EF4-FFF2-40B4-BE49-F238E27FC236}">
                  <a16:creationId xmlns:a16="http://schemas.microsoft.com/office/drawing/2014/main" id="{81E66454-B3D1-4304-95E2-8BD4F5D909D9}"/>
                </a:ext>
              </a:extLst>
            </xdr:cNvPr>
            <xdr:cNvSpPr/>
          </xdr:nvSpPr>
          <xdr:spPr>
            <a:xfrm>
              <a:off x="609600" y="1524000"/>
              <a:ext cx="5695950" cy="4572000"/>
            </a:xfrm>
            <a:prstGeom prst="rect">
              <a:avLst/>
            </a:prstGeom>
            <a:solidFill>
              <a:srgbClr val="F5F5F5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endParaRPr lang="en-US" sz="2200">
                <a:solidFill>
                  <a:sysClr val="windowText" lastClr="000000"/>
                </a:solidFill>
                <a:latin typeface="Segoe UI Light" panose="020B0502040204020203" pitchFamily="34" charset="0"/>
                <a:cs typeface="Segoe UI Light" panose="020B0502040204020203" pitchFamily="34" charset="0"/>
              </a:endParaRPr>
            </a:p>
          </xdr:txBody>
        </xdr:sp>
        <xdr:sp macro="" textlink="">
          <xdr:nvSpPr>
            <xdr:cNvPr id="98" name="текст_ЗаголовокКурса" descr="Объединение текста из разных ячеек">
              <a:extLst>
                <a:ext uri="{FF2B5EF4-FFF2-40B4-BE49-F238E27FC236}">
                  <a16:creationId xmlns:a16="http://schemas.microsoft.com/office/drawing/2014/main" id="{64DE63A8-C533-4A24-94EE-0182FFA6A743}"/>
                </a:ext>
              </a:extLst>
            </xdr:cNvPr>
            <xdr:cNvSpPr txBox="1"/>
          </xdr:nvSpPr>
          <xdr:spPr>
            <a:xfrm>
              <a:off x="849300" y="1619249"/>
              <a:ext cx="5216551" cy="4858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rIns="0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22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 Light" panose="020B0502040204020203" pitchFamily="34" charset="0"/>
                  <a:ea typeface="Segoe UI" pitchFamily="34" charset="0"/>
                  <a:cs typeface="Segoe UI Light" panose="020B0502040204020203" pitchFamily="34" charset="0"/>
                </a:rPr>
                <a:t>Объединение текста из разных ячеек</a:t>
              </a:r>
            </a:p>
          </xdr:txBody>
        </xdr:sp>
        <xdr:cxnSp macro="">
          <xdr:nvCxnSpPr>
            <xdr:cNvPr id="99" name="текст_Курсстрока1" descr="Декоративная линия">
              <a:extLst>
                <a:ext uri="{FF2B5EF4-FFF2-40B4-BE49-F238E27FC236}">
                  <a16:creationId xmlns:a16="http://schemas.microsoft.com/office/drawing/2014/main" id="{56CCBBC6-CEA3-4A11-91B0-C552C6DD564E}"/>
                </a:ext>
              </a:extLst>
            </xdr:cNvPr>
            <xdr:cNvCxnSpPr>
              <a:cxnSpLocks/>
            </xdr:cNvCxnSpPr>
          </xdr:nvCxnSpPr>
          <xdr:spPr>
            <a:xfrm>
              <a:off x="850887" y="2190751"/>
              <a:ext cx="5213376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0" name="текст_Курсстрока2" descr="Декоративная линия">
              <a:extLst>
                <a:ext uri="{FF2B5EF4-FFF2-40B4-BE49-F238E27FC236}">
                  <a16:creationId xmlns:a16="http://schemas.microsoft.com/office/drawing/2014/main" id="{D1E1815B-B93B-4FAB-BF34-F8EBD480D0BC}"/>
                </a:ext>
              </a:extLst>
            </xdr:cNvPr>
            <xdr:cNvCxnSpPr>
              <a:cxnSpLocks/>
            </xdr:cNvCxnSpPr>
          </xdr:nvCxnSpPr>
          <xdr:spPr>
            <a:xfrm>
              <a:off x="850887" y="5355166"/>
              <a:ext cx="5213376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1" name="текст_КурсВведение" descr="В Excel часто приходится объединять текстовые строки, которые находятся в разных ячейках. Допустим, у вас есть списки имен и фамилий и вы хотите объединить их в полные имена. К счастью, в Excel это можно сделать с помощью знака &amp; (клавиши SHIFT+7).">
              <a:extLst>
                <a:ext uri="{FF2B5EF4-FFF2-40B4-BE49-F238E27FC236}">
                  <a16:creationId xmlns:a16="http://schemas.microsoft.com/office/drawing/2014/main" id="{D2702511-4771-4838-A3C1-0C5BA687014B}"/>
                </a:ext>
              </a:extLst>
            </xdr:cNvPr>
            <xdr:cNvSpPr txBox="1"/>
          </xdr:nvSpPr>
          <xdr:spPr>
            <a:xfrm>
              <a:off x="846305" y="2224166"/>
              <a:ext cx="5216551" cy="8809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rIns="0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 Excel часто приходится объединять текстовые строки, которые находятся в разных ячейках. Допустим, у вас есть списки имен и фамилий и вы хотите объединить их в полные имена. К счастью, в Excel это можно сделать с помощью амперсанда (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&amp;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), который вводится путем нажатия клавиш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SHIFT+7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88" name="группа_Шаг">
            <a:extLst>
              <a:ext uri="{FF2B5EF4-FFF2-40B4-BE49-F238E27FC236}">
                <a16:creationId xmlns:a16="http://schemas.microsoft.com/office/drawing/2014/main" id="{C22B3EA9-DB64-4F67-BB25-AB505C9F6071}"/>
              </a:ext>
            </a:extLst>
          </xdr:cNvPr>
          <xdr:cNvGrpSpPr/>
        </xdr:nvGrpSpPr>
        <xdr:grpSpPr>
          <a:xfrm>
            <a:off x="238125" y="1628775"/>
            <a:ext cx="5220101" cy="596207"/>
            <a:chOff x="590674" y="7810500"/>
            <a:chExt cx="5186234" cy="596207"/>
          </a:xfrm>
        </xdr:grpSpPr>
        <xdr:sp macro="" textlink="">
          <xdr:nvSpPr>
            <xdr:cNvPr id="95" name="текст_Шаг" descr="В ячейке E3 введите =D3&amp;C3, чтобы объединить фамилии и имена. ">
              <a:extLst>
                <a:ext uri="{FF2B5EF4-FFF2-40B4-BE49-F238E27FC236}">
                  <a16:creationId xmlns:a16="http://schemas.microsoft.com/office/drawing/2014/main" id="{2019278A-5B82-42D4-A9E1-AB92ED21BA21}"/>
                </a:ext>
              </a:extLst>
            </xdr:cNvPr>
            <xdr:cNvSpPr txBox="1"/>
          </xdr:nvSpPr>
          <xdr:spPr>
            <a:xfrm>
              <a:off x="998369" y="7852458"/>
              <a:ext cx="4778539" cy="554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 ячейке E3 введите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=D3&amp;C3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 чтобы объединить фамилии и имена. 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96" name="фигура_Шаг" descr="1">
              <a:extLst>
                <a:ext uri="{FF2B5EF4-FFF2-40B4-BE49-F238E27FC236}">
                  <a16:creationId xmlns:a16="http://schemas.microsoft.com/office/drawing/2014/main" id="{08E6959D-49D7-4904-81A7-E70CA3454C0B}"/>
                </a:ext>
              </a:extLst>
            </xdr:cNvPr>
            <xdr:cNvSpPr/>
          </xdr:nvSpPr>
          <xdr:spPr>
            <a:xfrm>
              <a:off x="590674" y="7810500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1</a:t>
              </a:r>
            </a:p>
          </xdr:txBody>
        </xdr:sp>
      </xdr:grpSp>
      <xdr:grpSp>
        <xdr:nvGrpSpPr>
          <xdr:cNvPr id="89" name="группа_Шаг">
            <a:extLst>
              <a:ext uri="{FF2B5EF4-FFF2-40B4-BE49-F238E27FC236}">
                <a16:creationId xmlns:a16="http://schemas.microsoft.com/office/drawing/2014/main" id="{2404CB22-1164-47A4-9503-5F5194382641}"/>
              </a:ext>
            </a:extLst>
          </xdr:cNvPr>
          <xdr:cNvGrpSpPr/>
        </xdr:nvGrpSpPr>
        <xdr:grpSpPr>
          <a:xfrm>
            <a:off x="238125" y="2166938"/>
            <a:ext cx="5220101" cy="881062"/>
            <a:chOff x="590674" y="7810500"/>
            <a:chExt cx="5186234" cy="881062"/>
          </a:xfrm>
        </xdr:grpSpPr>
        <xdr:sp macro="" textlink="">
          <xdr:nvSpPr>
            <xdr:cNvPr id="93" name="текст_Шаг" descr="Хм, «КолесниковаНадежда» смотрится не так уж красиво. Нужно добавить пробел. Используем кавычки, чтобы создать новую текстовую строку. Введем =D3&amp;&quot; &quot;&amp;C3. Синтаксис &amp;&quot; &quot;&amp; позволяет объединить пробел с текстом в ячейках.&#10;">
              <a:extLst>
                <a:ext uri="{FF2B5EF4-FFF2-40B4-BE49-F238E27FC236}">
                  <a16:creationId xmlns:a16="http://schemas.microsoft.com/office/drawing/2014/main" id="{08674DB0-339E-4450-B5D1-99B77DC0D664}"/>
                </a:ext>
              </a:extLst>
            </xdr:cNvPr>
            <xdr:cNvSpPr txBox="1"/>
          </xdr:nvSpPr>
          <xdr:spPr>
            <a:xfrm>
              <a:off x="998369" y="7823883"/>
              <a:ext cx="4778539" cy="86767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Хм, «КолесниковаНадежда» смотрится не так уж красиво. Нужно добавить пробел. Используем кавычки, чтобы создать новую текстовую строку. Введем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=D3&amp;"</a:t>
              </a:r>
              <a:r>
                <a:rPr lang="en-US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"&amp;C3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Синтаксис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&amp;"</a:t>
              </a:r>
              <a:r>
                <a:rPr lang="en-US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"&amp;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позволяет объединить пробел с текстом в ячейках.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94" name="фигура_Шаг" descr="2">
              <a:extLst>
                <a:ext uri="{FF2B5EF4-FFF2-40B4-BE49-F238E27FC236}">
                  <a16:creationId xmlns:a16="http://schemas.microsoft.com/office/drawing/2014/main" id="{5F7A5327-6FDF-46BB-9B7E-8EB24A3ABBF2}"/>
                </a:ext>
              </a:extLst>
            </xdr:cNvPr>
            <xdr:cNvSpPr/>
          </xdr:nvSpPr>
          <xdr:spPr>
            <a:xfrm>
              <a:off x="590674" y="7810500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2</a:t>
              </a:r>
            </a:p>
          </xdr:txBody>
        </xdr:sp>
      </xdr:grpSp>
      <xdr:grpSp>
        <xdr:nvGrpSpPr>
          <xdr:cNvPr id="90" name="группа_Шаг">
            <a:extLst>
              <a:ext uri="{FF2B5EF4-FFF2-40B4-BE49-F238E27FC236}">
                <a16:creationId xmlns:a16="http://schemas.microsoft.com/office/drawing/2014/main" id="{C702821E-6BD4-4022-98BD-DE7E30FD3E4C}"/>
              </a:ext>
            </a:extLst>
          </xdr:cNvPr>
          <xdr:cNvGrpSpPr/>
        </xdr:nvGrpSpPr>
        <xdr:grpSpPr>
          <a:xfrm>
            <a:off x="238125" y="3105150"/>
            <a:ext cx="5220101" cy="596207"/>
            <a:chOff x="590674" y="7810500"/>
            <a:chExt cx="5186234" cy="596207"/>
          </a:xfrm>
        </xdr:grpSpPr>
        <xdr:sp macro="" textlink="">
          <xdr:nvSpPr>
            <xdr:cNvPr id="91" name="текст_Шаг" descr="Кроме того, соединим имя с фамилией в обратном порядке. В ячейке F3 введем =C3&amp;&quot; &quot;&amp;D3.">
              <a:extLst>
                <a:ext uri="{FF2B5EF4-FFF2-40B4-BE49-F238E27FC236}">
                  <a16:creationId xmlns:a16="http://schemas.microsoft.com/office/drawing/2014/main" id="{CEF374DD-E735-4BAD-8507-D3231A999B36}"/>
                </a:ext>
              </a:extLst>
            </xdr:cNvPr>
            <xdr:cNvSpPr txBox="1"/>
          </xdr:nvSpPr>
          <xdr:spPr>
            <a:xfrm>
              <a:off x="998369" y="7852458"/>
              <a:ext cx="4778539" cy="554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Кроме того, соединим имя с фамилией в обратном порядке. В ячейке F3 введем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=C3&amp;" "&amp;D3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92" name="фигура_Шаг" descr="3">
              <a:extLst>
                <a:ext uri="{FF2B5EF4-FFF2-40B4-BE49-F238E27FC236}">
                  <a16:creationId xmlns:a16="http://schemas.microsoft.com/office/drawing/2014/main" id="{9477BB36-AB74-47F3-A687-1A347B7E572C}"/>
                </a:ext>
              </a:extLst>
            </xdr:cNvPr>
            <xdr:cNvSpPr/>
          </xdr:nvSpPr>
          <xdr:spPr>
            <a:xfrm>
              <a:off x="590674" y="7810500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3</a:t>
              </a:r>
            </a:p>
          </xdr:txBody>
        </xdr:sp>
      </xdr:grpSp>
    </xdr:grpSp>
    <xdr:clientData/>
  </xdr:twoCellAnchor>
  <xdr:twoCellAnchor editAs="absolute">
    <xdr:from>
      <xdr:col>0</xdr:col>
      <xdr:colOff>581025</xdr:colOff>
      <xdr:row>19</xdr:row>
      <xdr:rowOff>142875</xdr:rowOff>
    </xdr:from>
    <xdr:to>
      <xdr:col>1</xdr:col>
      <xdr:colOff>2474582</xdr:colOff>
      <xdr:row>22</xdr:row>
      <xdr:rowOff>107062</xdr:rowOff>
    </xdr:to>
    <xdr:sp macro="" textlink="">
      <xdr:nvSpPr>
        <xdr:cNvPr id="102" name="кнопка_Подробнее" descr="Подробнее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54CB2CE-20A2-44E1-8EB9-DA5F21EB9298}"/>
            </a:ext>
          </a:extLst>
        </xdr:cNvPr>
        <xdr:cNvSpPr/>
      </xdr:nvSpPr>
      <xdr:spPr>
        <a:xfrm>
          <a:off x="581025" y="4333875"/>
          <a:ext cx="2741282" cy="535687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Подробнее</a:t>
          </a:r>
        </a:p>
      </xdr:txBody>
    </xdr:sp>
    <xdr:clientData/>
  </xdr:twoCellAnchor>
  <xdr:twoCellAnchor editAs="absolute">
    <xdr:from>
      <xdr:col>1</xdr:col>
      <xdr:colOff>3713211</xdr:colOff>
      <xdr:row>19</xdr:row>
      <xdr:rowOff>142875</xdr:rowOff>
    </xdr:from>
    <xdr:to>
      <xdr:col>1</xdr:col>
      <xdr:colOff>4988381</xdr:colOff>
      <xdr:row>21</xdr:row>
      <xdr:rowOff>97324</xdr:rowOff>
    </xdr:to>
    <xdr:sp macro="" textlink="">
      <xdr:nvSpPr>
        <xdr:cNvPr id="103" name="Кнопка«Далее»" descr="Перейти к следующему листу">
          <a:hlinkClick xmlns:r="http://schemas.openxmlformats.org/officeDocument/2006/relationships" r:id="rId2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2DE05C84-7047-4122-A2D6-137F3AEDBF12}"/>
            </a:ext>
          </a:extLst>
        </xdr:cNvPr>
        <xdr:cNvSpPr/>
      </xdr:nvSpPr>
      <xdr:spPr>
        <a:xfrm>
          <a:off x="4560936" y="4333875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4</xdr:col>
      <xdr:colOff>38100</xdr:colOff>
      <xdr:row>33</xdr:row>
      <xdr:rowOff>66675</xdr:rowOff>
    </xdr:from>
    <xdr:to>
      <xdr:col>6</xdr:col>
      <xdr:colOff>295274</xdr:colOff>
      <xdr:row>40</xdr:row>
      <xdr:rowOff>142876</xdr:rowOff>
    </xdr:to>
    <xdr:grpSp>
      <xdr:nvGrpSpPr>
        <xdr:cNvPr id="104" name="ПОПРОБУЙТЕ САМИ!" descr="ПОПРОБУЙТЕ САМИ!&#10;&#10;">
          <a:extLst>
            <a:ext uri="{FF2B5EF4-FFF2-40B4-BE49-F238E27FC236}">
              <a16:creationId xmlns:a16="http://schemas.microsoft.com/office/drawing/2014/main" id="{EFD4E48E-5D2B-4B5E-9DBB-99430A62BD96}"/>
            </a:ext>
          </a:extLst>
        </xdr:cNvPr>
        <xdr:cNvGrpSpPr/>
      </xdr:nvGrpSpPr>
      <xdr:grpSpPr>
        <a:xfrm>
          <a:off x="9572625" y="6924675"/>
          <a:ext cx="3209924" cy="1409701"/>
          <a:chOff x="7539454" y="7993902"/>
          <a:chExt cx="3209767" cy="1409701"/>
        </a:xfrm>
      </xdr:grpSpPr>
      <xdr:grpSp>
        <xdr:nvGrpSpPr>
          <xdr:cNvPr id="105" name="Строки с квадратной скобкой">
            <a:extLst>
              <a:ext uri="{FF2B5EF4-FFF2-40B4-BE49-F238E27FC236}">
                <a16:creationId xmlns:a16="http://schemas.microsoft.com/office/drawing/2014/main" id="{AA6B064F-4768-428F-88A8-87332CACD51B}"/>
              </a:ext>
            </a:extLst>
          </xdr:cNvPr>
          <xdr:cNvGrpSpPr/>
        </xdr:nvGrpSpPr>
        <xdr:grpSpPr>
          <a:xfrm rot="599914">
            <a:off x="7539454" y="8145377"/>
            <a:ext cx="293814" cy="698211"/>
            <a:chOff x="9871108" y="1184220"/>
            <a:chExt cx="273326" cy="789155"/>
          </a:xfrm>
        </xdr:grpSpPr>
        <xdr:sp macro="" textlink="">
          <xdr:nvSpPr>
            <xdr:cNvPr id="108" name="Другая строка с квадратной скобкой" descr="Строка с квадратной скобкой">
              <a:extLst>
                <a:ext uri="{FF2B5EF4-FFF2-40B4-BE49-F238E27FC236}">
                  <a16:creationId xmlns:a16="http://schemas.microsoft.com/office/drawing/2014/main" id="{5570FA65-E17B-40B5-9CC7-154F3BD3440E}"/>
                </a:ext>
              </a:extLst>
            </xdr:cNvPr>
            <xdr:cNvSpPr/>
          </xdr:nvSpPr>
          <xdr:spPr>
            <a:xfrm>
              <a:off x="9871108" y="1184220"/>
              <a:ext cx="273326" cy="262769"/>
            </a:xfrm>
            <a:custGeom>
              <a:avLst/>
              <a:gdLst>
                <a:gd name="connsiteX0" fmla="*/ 0 w 273326"/>
                <a:gd name="connsiteY0" fmla="*/ 193 h 217696"/>
                <a:gd name="connsiteX1" fmla="*/ 157369 w 273326"/>
                <a:gd name="connsiteY1" fmla="*/ 33323 h 217696"/>
                <a:gd name="connsiteX2" fmla="*/ 165652 w 273326"/>
                <a:gd name="connsiteY2" fmla="*/ 207258 h 217696"/>
                <a:gd name="connsiteX3" fmla="*/ 273326 w 273326"/>
                <a:gd name="connsiteY3" fmla="*/ 198976 h 217696"/>
                <a:gd name="connsiteX4" fmla="*/ 273326 w 273326"/>
                <a:gd name="connsiteY4" fmla="*/ 198976 h 2176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73326" h="217696">
                  <a:moveTo>
                    <a:pt x="0" y="193"/>
                  </a:moveTo>
                  <a:cubicBezTo>
                    <a:pt x="64880" y="-498"/>
                    <a:pt x="129760" y="-1188"/>
                    <a:pt x="157369" y="33323"/>
                  </a:cubicBezTo>
                  <a:cubicBezTo>
                    <a:pt x="184978" y="67834"/>
                    <a:pt x="146326" y="179649"/>
                    <a:pt x="165652" y="207258"/>
                  </a:cubicBezTo>
                  <a:cubicBezTo>
                    <a:pt x="184978" y="234867"/>
                    <a:pt x="273326" y="198976"/>
                    <a:pt x="273326" y="198976"/>
                  </a:cubicBezTo>
                  <a:lnTo>
                    <a:pt x="273326" y="198976"/>
                  </a:ln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09" name="Строка с квадратной скобкой" descr="Строка с квадратной скобкой&#10;">
              <a:extLst>
                <a:ext uri="{FF2B5EF4-FFF2-40B4-BE49-F238E27FC236}">
                  <a16:creationId xmlns:a16="http://schemas.microsoft.com/office/drawing/2014/main" id="{4D189C00-D6D4-4561-92F7-346B05B04B41}"/>
                </a:ext>
              </a:extLst>
            </xdr:cNvPr>
            <xdr:cNvSpPr/>
          </xdr:nvSpPr>
          <xdr:spPr>
            <a:xfrm>
              <a:off x="9983011" y="1430777"/>
              <a:ext cx="160895" cy="542598"/>
            </a:xfrm>
            <a:custGeom>
              <a:avLst/>
              <a:gdLst>
                <a:gd name="connsiteX0" fmla="*/ 0 w 231913"/>
                <a:gd name="connsiteY0" fmla="*/ 579782 h 579782"/>
                <a:gd name="connsiteX1" fmla="*/ 173935 w 231913"/>
                <a:gd name="connsiteY1" fmla="*/ 496956 h 579782"/>
                <a:gd name="connsiteX2" fmla="*/ 107674 w 231913"/>
                <a:gd name="connsiteY2" fmla="*/ 265043 h 579782"/>
                <a:gd name="connsiteX3" fmla="*/ 115956 w 231913"/>
                <a:gd name="connsiteY3" fmla="*/ 57978 h 579782"/>
                <a:gd name="connsiteX4" fmla="*/ 231913 w 231913"/>
                <a:gd name="connsiteY4" fmla="*/ 0 h 57978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31913" h="579782">
                  <a:moveTo>
                    <a:pt x="0" y="579782"/>
                  </a:moveTo>
                  <a:cubicBezTo>
                    <a:pt x="77994" y="564597"/>
                    <a:pt x="155989" y="549413"/>
                    <a:pt x="173935" y="496956"/>
                  </a:cubicBezTo>
                  <a:cubicBezTo>
                    <a:pt x="191881" y="444499"/>
                    <a:pt x="117337" y="338206"/>
                    <a:pt x="107674" y="265043"/>
                  </a:cubicBezTo>
                  <a:cubicBezTo>
                    <a:pt x="98011" y="191880"/>
                    <a:pt x="95250" y="102152"/>
                    <a:pt x="115956" y="57978"/>
                  </a:cubicBezTo>
                  <a:cubicBezTo>
                    <a:pt x="136663" y="13804"/>
                    <a:pt x="184288" y="6902"/>
                    <a:pt x="231913" y="0"/>
                  </a:cubicBez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pic>
        <xdr:nvPicPr>
          <xdr:cNvPr id="106" name="Звезды" descr="Звезды">
            <a:extLst>
              <a:ext uri="{FF2B5EF4-FFF2-40B4-BE49-F238E27FC236}">
                <a16:creationId xmlns:a16="http://schemas.microsoft.com/office/drawing/2014/main" id="{4EF6B9B5-6A72-4ED6-A038-08F20F1BE9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830674" y="8038700"/>
            <a:ext cx="388098" cy="337815"/>
          </a:xfrm>
          <a:prstGeom prst="rect">
            <a:avLst/>
          </a:prstGeom>
        </xdr:spPr>
      </xdr:pic>
      <xdr:sp macro="" textlink="">
        <xdr:nvSpPr>
          <xdr:cNvPr id="107" name="Инструкции" descr="ПОПРОБУЙТЕ САМИ!&#10;Формулы, особенно длинные, иногда сложно читать. Вы можете разделить их на части пробелами:&#10;&#10;=C28 &amp; &quot; &quot; &amp; ТЕКСТ(D28;&quot;ДД.ММ.ГГГГ&quot;)&#10;">
            <a:extLst>
              <a:ext uri="{FF2B5EF4-FFF2-40B4-BE49-F238E27FC236}">
                <a16:creationId xmlns:a16="http://schemas.microsoft.com/office/drawing/2014/main" id="{E1E6E972-A734-4953-9B25-6280E9FDC77E}"/>
              </a:ext>
            </a:extLst>
          </xdr:cNvPr>
          <xdr:cNvSpPr txBox="1"/>
        </xdr:nvSpPr>
        <xdr:spPr>
          <a:xfrm>
            <a:off x="8132528" y="7993902"/>
            <a:ext cx="2616693" cy="14097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ПОПРОБУЙТЕ САМИ!</a:t>
            </a:r>
          </a:p>
          <a:p>
            <a:pPr lvl="0" rtl="0">
              <a:defRPr/>
            </a:pPr>
            <a:r>
              <a:rPr lang="ru" sz="1100" kern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Формулы,</a:t>
            </a:r>
            <a:r>
              <a:rPr lang="ru" sz="1100" kern="0" baseline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 особенно длинные, иногда сложно читать. Вы можете разделить их на части пробелами:</a:t>
            </a:r>
          </a:p>
          <a:p>
            <a:pPr lvl="0" rtl="0">
              <a:defRPr/>
            </a:pPr>
            <a:endParaRPr lang="en-US" sz="1100" kern="0" baseline="0">
              <a:solidFill>
                <a:schemeClr val="bg2">
                  <a:lumMod val="25000"/>
                </a:schemeClr>
              </a:solidFill>
              <a:latin typeface="+mn-lt"/>
              <a:ea typeface="Segoe UI" pitchFamily="34" charset="0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ru" sz="1100" b="1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=C28 &amp; " " &amp; ТЕКСТ(D28;"</a:t>
            </a:r>
            <a:r>
              <a:rPr lang="ru-RU" sz="1100" b="1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ДД-ММ-ГГГГ</a:t>
            </a:r>
            <a:r>
              <a:rPr lang="ru" sz="1100" b="1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")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342900</xdr:colOff>
      <xdr:row>0</xdr:row>
      <xdr:rowOff>361949</xdr:rowOff>
    </xdr:from>
    <xdr:to>
      <xdr:col>1</xdr:col>
      <xdr:colOff>5229225</xdr:colOff>
      <xdr:row>23</xdr:row>
      <xdr:rowOff>160949</xdr:rowOff>
    </xdr:to>
    <xdr:grpSp>
      <xdr:nvGrpSpPr>
        <xdr:cNvPr id="32" name="Группа 31">
          <a:extLst>
            <a:ext uri="{FF2B5EF4-FFF2-40B4-BE49-F238E27FC236}">
              <a16:creationId xmlns:a16="http://schemas.microsoft.com/office/drawing/2014/main" id="{32765470-045A-4DC3-91A2-013AB95EB7BA}"/>
            </a:ext>
          </a:extLst>
        </xdr:cNvPr>
        <xdr:cNvGrpSpPr/>
      </xdr:nvGrpSpPr>
      <xdr:grpSpPr>
        <a:xfrm>
          <a:off x="342900" y="361949"/>
          <a:ext cx="5734050" cy="4752000"/>
          <a:chOff x="342900" y="361949"/>
          <a:chExt cx="5734050" cy="4752000"/>
        </a:xfrm>
      </xdr:grpSpPr>
      <xdr:grpSp>
        <xdr:nvGrpSpPr>
          <xdr:cNvPr id="70" name="Группа 69">
            <a:extLst>
              <a:ext uri="{FF2B5EF4-FFF2-40B4-BE49-F238E27FC236}">
                <a16:creationId xmlns:a16="http://schemas.microsoft.com/office/drawing/2014/main" id="{070FF1E9-A14C-476A-A31F-8E531229B90A}"/>
              </a:ext>
            </a:extLst>
          </xdr:cNvPr>
          <xdr:cNvGrpSpPr/>
        </xdr:nvGrpSpPr>
        <xdr:grpSpPr>
          <a:xfrm>
            <a:off x="342900" y="361949"/>
            <a:ext cx="5734050" cy="4752000"/>
            <a:chOff x="342900" y="342899"/>
            <a:chExt cx="5734050" cy="4608621"/>
          </a:xfrm>
        </xdr:grpSpPr>
        <xdr:sp macro="" textlink="">
          <xdr:nvSpPr>
            <xdr:cNvPr id="76" name="текст_ФонКурса" descr="Фон">
              <a:extLst>
                <a:ext uri="{FF2B5EF4-FFF2-40B4-BE49-F238E27FC236}">
                  <a16:creationId xmlns:a16="http://schemas.microsoft.com/office/drawing/2014/main" id="{32129052-3339-477F-8788-8EA08A10AD5C}"/>
                </a:ext>
              </a:extLst>
            </xdr:cNvPr>
            <xdr:cNvSpPr/>
          </xdr:nvSpPr>
          <xdr:spPr>
            <a:xfrm>
              <a:off x="342900" y="342899"/>
              <a:ext cx="5734050" cy="4608621"/>
            </a:xfrm>
            <a:prstGeom prst="rect">
              <a:avLst/>
            </a:prstGeom>
            <a:solidFill>
              <a:srgbClr val="F5F5F5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endParaRPr lang="en-US" sz="2200">
                <a:solidFill>
                  <a:sysClr val="windowText" lastClr="000000"/>
                </a:solidFill>
                <a:latin typeface="Segoe UI Light" panose="020B0502040204020203" pitchFamily="34" charset="0"/>
                <a:cs typeface="Segoe UI Light" panose="020B0502040204020203" pitchFamily="34" charset="0"/>
              </a:endParaRPr>
            </a:p>
          </xdr:txBody>
        </xdr:sp>
        <xdr:sp macro="" textlink="">
          <xdr:nvSpPr>
            <xdr:cNvPr id="77" name="текст_ЗаголовокКурса" descr="Операторы ЕСЛИ">
              <a:extLst>
                <a:ext uri="{FF2B5EF4-FFF2-40B4-BE49-F238E27FC236}">
                  <a16:creationId xmlns:a16="http://schemas.microsoft.com/office/drawing/2014/main" id="{D2D2176E-742F-483D-81E1-ED859FF4E49A}"/>
                </a:ext>
              </a:extLst>
            </xdr:cNvPr>
            <xdr:cNvSpPr txBox="1"/>
          </xdr:nvSpPr>
          <xdr:spPr>
            <a:xfrm>
              <a:off x="555628" y="438149"/>
              <a:ext cx="5251444" cy="4858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rIns="0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22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 Light" panose="020B0502040204020203" pitchFamily="34" charset="0"/>
                  <a:ea typeface="Segoe UI" pitchFamily="34" charset="0"/>
                  <a:cs typeface="Segoe UI Light" panose="020B0502040204020203" pitchFamily="34" charset="0"/>
                </a:rPr>
                <a:t>Операторы ЕСЛИ</a:t>
              </a:r>
              <a:endParaRPr kumimoji="0" lang="en-US" sz="22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endParaRPr>
            </a:p>
          </xdr:txBody>
        </xdr:sp>
        <xdr:cxnSp macro="">
          <xdr:nvCxnSpPr>
            <xdr:cNvPr id="78" name="текст_Курсстрока1" descr="Декоративная линия">
              <a:extLst>
                <a:ext uri="{FF2B5EF4-FFF2-40B4-BE49-F238E27FC236}">
                  <a16:creationId xmlns:a16="http://schemas.microsoft.com/office/drawing/2014/main" id="{983C4C13-C094-4FE6-8183-AEA6A2CA096C}"/>
                </a:ext>
              </a:extLst>
            </xdr:cNvPr>
            <xdr:cNvCxnSpPr>
              <a:cxnSpLocks/>
            </xdr:cNvCxnSpPr>
          </xdr:nvCxnSpPr>
          <xdr:spPr>
            <a:xfrm>
              <a:off x="555628" y="1009651"/>
              <a:ext cx="5248248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9" name="текст_Курсстрока2" descr="Декоративная линия">
              <a:extLst>
                <a:ext uri="{FF2B5EF4-FFF2-40B4-BE49-F238E27FC236}">
                  <a16:creationId xmlns:a16="http://schemas.microsoft.com/office/drawing/2014/main" id="{B9B7D386-28D6-4E40-BBBD-81C9A5683619}"/>
                </a:ext>
              </a:extLst>
            </xdr:cNvPr>
            <xdr:cNvCxnSpPr>
              <a:cxnSpLocks/>
            </xdr:cNvCxnSpPr>
          </xdr:nvCxnSpPr>
          <xdr:spPr>
            <a:xfrm>
              <a:off x="555628" y="4111456"/>
              <a:ext cx="5248248" cy="0"/>
            </a:xfrm>
            <a:prstGeom prst="line">
              <a:avLst/>
            </a:prstGeom>
            <a:ln w="25400">
              <a:solidFill>
                <a:srgbClr val="21734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0" name="текст_КурсВведение" descr="Операторы ЕСЛИ позволяют выполнять логические сравнения условий. Обычно оператор ЕСЛИ означает следующее: если условие имеет значение ИСТИНА, следует выполнить некое действие, в противном случае (если условие возвращает значение ЛОЖЬ) необходимо выполнить другое действие. Формулы могут возвращать текст, значения или даже другие вычисления.&#10;">
              <a:extLst>
                <a:ext uri="{FF2B5EF4-FFF2-40B4-BE49-F238E27FC236}">
                  <a16:creationId xmlns:a16="http://schemas.microsoft.com/office/drawing/2014/main" id="{29E75ED7-FFEA-4CE5-86E1-A1A772619057}"/>
                </a:ext>
              </a:extLst>
            </xdr:cNvPr>
            <xdr:cNvSpPr txBox="1"/>
          </xdr:nvSpPr>
          <xdr:spPr>
            <a:xfrm>
              <a:off x="562138" y="1043066"/>
              <a:ext cx="5251444" cy="999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lIns="0" rIns="0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bg2">
                      <a:lumMod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Операторы ЕСЛИ позволяют выполнять логические сравнения условий. Обычно оператор ЕСЛИ означает следующее: если условие имеет значение ИСТИНА, следует выполнить некое действие, в противном случае необходимо выполнить другое действие. Формулы могут возвращать текст, значения или даже другие вычисления.</a:t>
              </a:r>
            </a:p>
          </xdr:txBody>
        </xdr:sp>
      </xdr:grpSp>
      <xdr:grpSp>
        <xdr:nvGrpSpPr>
          <xdr:cNvPr id="81" name="группа_Шаг">
            <a:extLst>
              <a:ext uri="{FF2B5EF4-FFF2-40B4-BE49-F238E27FC236}">
                <a16:creationId xmlns:a16="http://schemas.microsoft.com/office/drawing/2014/main" id="{62718C28-6D67-47F6-B4B4-619E5B81F03D}"/>
              </a:ext>
            </a:extLst>
          </xdr:cNvPr>
          <xdr:cNvGrpSpPr/>
        </xdr:nvGrpSpPr>
        <xdr:grpSpPr>
          <a:xfrm>
            <a:off x="571500" y="2276475"/>
            <a:ext cx="5305429" cy="596207"/>
            <a:chOff x="666377" y="8124825"/>
            <a:chExt cx="5271008" cy="596207"/>
          </a:xfrm>
        </xdr:grpSpPr>
        <xdr:sp macro="" textlink="">
          <xdr:nvSpPr>
            <xdr:cNvPr id="82" name="текст_Шаг" descr="В ячейке D9 введите =ЕСЛИ(C9=&quot;Яблоко&quot;;ИСТИНА;ЛОЖЬ). Правильный ответ — ИСТИНА. &#10;&#10;&#10;">
              <a:extLst>
                <a:ext uri="{FF2B5EF4-FFF2-40B4-BE49-F238E27FC236}">
                  <a16:creationId xmlns:a16="http://schemas.microsoft.com/office/drawing/2014/main" id="{C9F56A19-70D3-4628-8709-84489EA24BB0}"/>
                </a:ext>
              </a:extLst>
            </xdr:cNvPr>
            <xdr:cNvSpPr txBox="1"/>
          </xdr:nvSpPr>
          <xdr:spPr>
            <a:xfrm>
              <a:off x="1074075" y="8166783"/>
              <a:ext cx="4863310" cy="554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 ячейке D9 введите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=ЕСЛИ(C9="Яблоко";ИСТИНА;ЛОЖЬ)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Правильный ответ —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ИСТИНА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83" name="фигура_Шаг" descr="1">
              <a:extLst>
                <a:ext uri="{FF2B5EF4-FFF2-40B4-BE49-F238E27FC236}">
                  <a16:creationId xmlns:a16="http://schemas.microsoft.com/office/drawing/2014/main" id="{174BEEAC-1D05-4BA3-8D44-772CDEFA2E58}"/>
                </a:ext>
              </a:extLst>
            </xdr:cNvPr>
            <xdr:cNvSpPr/>
          </xdr:nvSpPr>
          <xdr:spPr>
            <a:xfrm>
              <a:off x="666377" y="8124825"/>
              <a:ext cx="372192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1</a:t>
              </a:r>
            </a:p>
          </xdr:txBody>
        </xdr:sp>
      </xdr:grpSp>
      <xdr:grpSp>
        <xdr:nvGrpSpPr>
          <xdr:cNvPr id="84" name="группа_Шаг">
            <a:extLst>
              <a:ext uri="{FF2B5EF4-FFF2-40B4-BE49-F238E27FC236}">
                <a16:creationId xmlns:a16="http://schemas.microsoft.com/office/drawing/2014/main" id="{685246AB-9501-4CF4-B780-BCFC62DE94CD}"/>
              </a:ext>
            </a:extLst>
          </xdr:cNvPr>
          <xdr:cNvGrpSpPr/>
        </xdr:nvGrpSpPr>
        <xdr:grpSpPr>
          <a:xfrm>
            <a:off x="571500" y="2854325"/>
            <a:ext cx="5220103" cy="596207"/>
            <a:chOff x="685304" y="8124825"/>
            <a:chExt cx="5186236" cy="596207"/>
          </a:xfrm>
        </xdr:grpSpPr>
        <xdr:sp macro="" textlink="">
          <xdr:nvSpPr>
            <xdr:cNvPr id="85" name="текст_Шаг" descr="Скопируйте ячейку D9 в D10. В ней будет выведен ответ ЛОЖЬ, так как апельсины и яблоки — разные вещи.&#10;&#10;">
              <a:extLst>
                <a:ext uri="{FF2B5EF4-FFF2-40B4-BE49-F238E27FC236}">
                  <a16:creationId xmlns:a16="http://schemas.microsoft.com/office/drawing/2014/main" id="{D8F2AE5E-974E-4202-A290-3F2D0EFF00C4}"/>
                </a:ext>
              </a:extLst>
            </xdr:cNvPr>
            <xdr:cNvSpPr txBox="1"/>
          </xdr:nvSpPr>
          <xdr:spPr>
            <a:xfrm>
              <a:off x="1093001" y="8166783"/>
              <a:ext cx="4778539" cy="554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Скопируйте ячейку D9 в D10. В ней будет выведен ответ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ЛОЖЬ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 так как апельсины и яблоки — разные вещи.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86" name="фигура_Шаг" descr="2">
              <a:extLst>
                <a:ext uri="{FF2B5EF4-FFF2-40B4-BE49-F238E27FC236}">
                  <a16:creationId xmlns:a16="http://schemas.microsoft.com/office/drawing/2014/main" id="{19487CBB-1C21-45D8-828F-6A02011E52A3}"/>
                </a:ext>
              </a:extLst>
            </xdr:cNvPr>
            <xdr:cNvSpPr/>
          </xdr:nvSpPr>
          <xdr:spPr>
            <a:xfrm>
              <a:off x="685304" y="8124825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2</a:t>
              </a:r>
            </a:p>
          </xdr:txBody>
        </xdr:sp>
      </xdr:grpSp>
      <xdr:grpSp>
        <xdr:nvGrpSpPr>
          <xdr:cNvPr id="87" name="группа_Шаг">
            <a:extLst>
              <a:ext uri="{FF2B5EF4-FFF2-40B4-BE49-F238E27FC236}">
                <a16:creationId xmlns:a16="http://schemas.microsoft.com/office/drawing/2014/main" id="{90938F22-5BF3-4461-BD80-06D3D6849C8F}"/>
              </a:ext>
            </a:extLst>
          </xdr:cNvPr>
          <xdr:cNvGrpSpPr/>
        </xdr:nvGrpSpPr>
        <xdr:grpSpPr>
          <a:xfrm>
            <a:off x="571500" y="3479800"/>
            <a:ext cx="5220103" cy="844550"/>
            <a:chOff x="694767" y="8124825"/>
            <a:chExt cx="5186236" cy="844550"/>
          </a:xfrm>
        </xdr:grpSpPr>
        <xdr:sp macro="" textlink="">
          <xdr:nvSpPr>
            <xdr:cNvPr id="88" name="текст_Шаг" descr="Попробуем еще один пример. Взгляните на формулу в ячейке D12: =ЕСЛИ(C12&lt;100;&quot;Меньше 100&quot;;&quot;Больше 100&quot;). Что произойдет, если в ячейку C12 ввести число больше 100?&#10;&#10;&#10;">
              <a:extLst>
                <a:ext uri="{FF2B5EF4-FFF2-40B4-BE49-F238E27FC236}">
                  <a16:creationId xmlns:a16="http://schemas.microsoft.com/office/drawing/2014/main" id="{E7088066-5C93-42EC-B66E-113D20980BB7}"/>
                </a:ext>
              </a:extLst>
            </xdr:cNvPr>
            <xdr:cNvSpPr txBox="1"/>
          </xdr:nvSpPr>
          <xdr:spPr>
            <a:xfrm>
              <a:off x="1102464" y="8166783"/>
              <a:ext cx="4778539" cy="80259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Попробуем еще один пример. Взгляните на формулу в ячейке D12: =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ЕСЛИ(C12&lt;100;"Меньше 100";"100 или больше").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Что произойдет, если в ячейку C12 ввести 100 или число больше 100?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89" name="фигура_Шаг" descr="3">
              <a:extLst>
                <a:ext uri="{FF2B5EF4-FFF2-40B4-BE49-F238E27FC236}">
                  <a16:creationId xmlns:a16="http://schemas.microsoft.com/office/drawing/2014/main" id="{A56BE1C1-41E9-483F-8A60-96A96BBFD3A7}"/>
                </a:ext>
              </a:extLst>
            </xdr:cNvPr>
            <xdr:cNvSpPr/>
          </xdr:nvSpPr>
          <xdr:spPr>
            <a:xfrm>
              <a:off x="694767" y="8124825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3</a:t>
              </a:r>
            </a:p>
          </xdr:txBody>
        </xdr:sp>
      </xdr:grpSp>
    </xdr:grpSp>
    <xdr:clientData/>
  </xdr:twoCellAnchor>
  <xdr:twoCellAnchor editAs="absolute">
    <xdr:from>
      <xdr:col>1</xdr:col>
      <xdr:colOff>3684072</xdr:colOff>
      <xdr:row>20</xdr:row>
      <xdr:rowOff>76200</xdr:rowOff>
    </xdr:from>
    <xdr:to>
      <xdr:col>1</xdr:col>
      <xdr:colOff>4959242</xdr:colOff>
      <xdr:row>22</xdr:row>
      <xdr:rowOff>30649</xdr:rowOff>
    </xdr:to>
    <xdr:sp macro="" textlink="">
      <xdr:nvSpPr>
        <xdr:cNvPr id="90" name="Кнопка«Далее»" descr="Перейти к следующему листу">
          <a:hlinkClick xmlns:r="http://schemas.openxmlformats.org/officeDocument/2006/relationships" r:id="rId1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A98A8F02-A704-4521-9F8F-C54B0653E78B}"/>
            </a:ext>
          </a:extLst>
        </xdr:cNvPr>
        <xdr:cNvSpPr/>
      </xdr:nvSpPr>
      <xdr:spPr>
        <a:xfrm>
          <a:off x="4531797" y="4457700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/>
  </xdr:twoCellAnchor>
  <xdr:twoCellAnchor editAs="absolute">
    <xdr:from>
      <xdr:col>2</xdr:col>
      <xdr:colOff>420093</xdr:colOff>
      <xdr:row>13</xdr:row>
      <xdr:rowOff>173238</xdr:rowOff>
    </xdr:from>
    <xdr:to>
      <xdr:col>5</xdr:col>
      <xdr:colOff>476261</xdr:colOff>
      <xdr:row>21</xdr:row>
      <xdr:rowOff>57148</xdr:rowOff>
    </xdr:to>
    <xdr:grpSp>
      <xdr:nvGrpSpPr>
        <xdr:cNvPr id="91" name="ВАЖНО" descr="ВАЖНО&#10;&#10;">
          <a:extLst>
            <a:ext uri="{FF2B5EF4-FFF2-40B4-BE49-F238E27FC236}">
              <a16:creationId xmlns:a16="http://schemas.microsoft.com/office/drawing/2014/main" id="{4DBA7152-B8FD-4056-917A-B7F06AE8B67E}"/>
            </a:ext>
          </a:extLst>
        </xdr:cNvPr>
        <xdr:cNvGrpSpPr/>
      </xdr:nvGrpSpPr>
      <xdr:grpSpPr>
        <a:xfrm>
          <a:off x="6792318" y="3221238"/>
          <a:ext cx="3656618" cy="1407910"/>
          <a:chOff x="6863991" y="11363325"/>
          <a:chExt cx="2736277" cy="1199442"/>
        </a:xfrm>
      </xdr:grpSpPr>
      <xdr:sp macro="" textlink="">
        <xdr:nvSpPr>
          <xdr:cNvPr id="92" name="Инструкция" descr="ВАЖНО&#10;В отличие от других слов, значения ИСТИНА и ЛОЖЬ не нужно заключать в кавычки. Кроме того, Excel автоматически пишет их с большой буквы. Для чисел также не нужны кавычки. Обычный текст, такой как «Да» или «Нет», необходимо заключать в кавычки: =ЕСЛИ(C3=&quot;Яблоко&quot;;&quot;Да&quot;;&quot;Нет&quot;)&#10;">
            <a:extLst>
              <a:ext uri="{FF2B5EF4-FFF2-40B4-BE49-F238E27FC236}">
                <a16:creationId xmlns:a16="http://schemas.microsoft.com/office/drawing/2014/main" id="{D4187BF2-8C2C-463C-B620-D3FC580541A4}"/>
              </a:ext>
            </a:extLst>
          </xdr:cNvPr>
          <xdr:cNvSpPr txBox="1"/>
        </xdr:nvSpPr>
        <xdr:spPr>
          <a:xfrm>
            <a:off x="7073900" y="11363325"/>
            <a:ext cx="2526368" cy="11994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ВАЖНО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В отличие от других слов, значения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ИСТИНА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и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ЛОЖЬ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не нужно заключать в кавычки. Кроме того, Excel автоматически пишет их с большой буквы. Для чисел также не нужны кавычки. Обычный текст, такой как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Да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или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Нет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, необходимо заключать в кавычки: </a:t>
            </a:r>
          </a:p>
          <a:p>
            <a:pPr rtl="0" eaLnBrk="1" fontAlgn="auto" latinLnBrk="0" hangingPunct="1"/>
            <a:r>
              <a:rPr lang="ru" sz="1100" b="1" kern="12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=ЕСЛИ(C3="Яблоко";"Да";"Нет")</a:t>
            </a:r>
            <a:endParaRPr lang="en-US" sz="800" b="1">
              <a:effectLst/>
            </a:endParaRPr>
          </a:p>
        </xdr:txBody>
      </xdr:sp>
      <xdr:pic>
        <xdr:nvPicPr>
          <xdr:cNvPr id="93" name="Лупа" descr="Лупа">
            <a:extLst>
              <a:ext uri="{FF2B5EF4-FFF2-40B4-BE49-F238E27FC236}">
                <a16:creationId xmlns:a16="http://schemas.microsoft.com/office/drawing/2014/main" id="{10AA8B71-3BEA-4E7D-B2D7-BB97E6D387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 flipH="1">
            <a:off x="6863991" y="11396132"/>
            <a:ext cx="253174" cy="244047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5476875</xdr:colOff>
      <xdr:row>46</xdr:row>
      <xdr:rowOff>76198</xdr:rowOff>
    </xdr:from>
    <xdr:to>
      <xdr:col>4</xdr:col>
      <xdr:colOff>600075</xdr:colOff>
      <xdr:row>53</xdr:row>
      <xdr:rowOff>180973</xdr:rowOff>
    </xdr:to>
    <xdr:grpSp>
      <xdr:nvGrpSpPr>
        <xdr:cNvPr id="94" name="СОВЕТ ЭКСПЕРТА" descr="СОВЕТ ЭКСПЕРТА">
          <a:extLst>
            <a:ext uri="{FF2B5EF4-FFF2-40B4-BE49-F238E27FC236}">
              <a16:creationId xmlns:a16="http://schemas.microsoft.com/office/drawing/2014/main" id="{4F3513E1-6B29-4E54-80FC-E2B36E732D7E}"/>
            </a:ext>
          </a:extLst>
        </xdr:cNvPr>
        <xdr:cNvGrpSpPr/>
      </xdr:nvGrpSpPr>
      <xdr:grpSpPr>
        <a:xfrm>
          <a:off x="6324600" y="9515473"/>
          <a:ext cx="3533775" cy="1438275"/>
          <a:chOff x="8448675" y="2143124"/>
          <a:chExt cx="2812587" cy="1429499"/>
        </a:xfrm>
      </xdr:grpSpPr>
      <xdr:pic>
        <xdr:nvPicPr>
          <xdr:cNvPr id="95" name="Графический объект 2" descr="Сова">
            <a:extLst>
              <a:ext uri="{FF2B5EF4-FFF2-40B4-BE49-F238E27FC236}">
                <a16:creationId xmlns:a16="http://schemas.microsoft.com/office/drawing/2014/main" id="{E56A0D5E-928F-4241-B1CD-3C396C5164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448675" y="2170284"/>
            <a:ext cx="444647" cy="444647"/>
          </a:xfrm>
          <a:prstGeom prst="rect">
            <a:avLst/>
          </a:prstGeom>
        </xdr:spPr>
      </xdr:pic>
      <xdr:sp macro="" textlink="">
        <xdr:nvSpPr>
          <xdr:cNvPr id="96" name="Шаг" descr="СОВЕТ ЭКСПЕРТА&#10;Благодаря именованным диапазонам можно определить условия или значения один раз, а затем многократно использовать их в книге. Чтобы просмотреть все именованные диапазоны в книге, выберите «Формулы» &gt; «Диспетчер имен». Щелкните здесь, чтобы узнать больше.&#10;">
            <a:hlinkClick xmlns:r="http://schemas.openxmlformats.org/officeDocument/2006/relationships" r:id="rId6" tooltip="Щелкните здесь, чтобы узнать больше об именованных диапазонах."/>
            <a:extLst>
              <a:ext uri="{FF2B5EF4-FFF2-40B4-BE49-F238E27FC236}">
                <a16:creationId xmlns:a16="http://schemas.microsoft.com/office/drawing/2014/main" id="{CDFC5BF1-DCF8-4B3F-9426-0E409672138F}"/>
              </a:ext>
            </a:extLst>
          </xdr:cNvPr>
          <xdr:cNvSpPr txBox="1"/>
        </xdr:nvSpPr>
        <xdr:spPr>
          <a:xfrm>
            <a:off x="8782052" y="2143124"/>
            <a:ext cx="2479210" cy="14294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СОВЕТ ЭКСПЕРТА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ru" sz="1100" kern="0" baseline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Благодаря </a:t>
            </a:r>
            <a:r>
              <a:rPr lang="ru" sz="1100" b="1" i="1" u="sng" kern="0">
                <a:solidFill>
                  <a:schemeClr val="accent1"/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именованным диапазонам</a:t>
            </a:r>
            <a:r>
              <a:rPr lang="ru" sz="1100" kern="0" baseline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 </a:t>
            </a:r>
            <a:r>
              <a:rPr lang="ru" sz="1100" kern="0" baseline="0">
                <a:solidFill>
                  <a:schemeClr val="bg2">
                    <a:lumMod val="25000"/>
                  </a:schemeClr>
                </a:solidFill>
                <a:ea typeface="Segoe UI" pitchFamily="34" charset="0"/>
                <a:cs typeface="Segoe UI Light" panose="020B0502040204020203" pitchFamily="34" charset="0"/>
              </a:rPr>
              <a:t>можно определить условия или значения один раз, а затем многократно использовать их в книге. Чтобы просмотреть все именованные диапазоны в книге, выберите </a:t>
            </a:r>
            <a:r>
              <a:rPr lang="ru" sz="1100" b="1" kern="0" baseline="0">
                <a:solidFill>
                  <a:schemeClr val="bg2">
                    <a:lumMod val="25000"/>
                  </a:schemeClr>
                </a:solidFill>
                <a:ea typeface="Segoe UI" pitchFamily="34" charset="0"/>
                <a:cs typeface="Segoe UI Light" panose="020B0502040204020203" pitchFamily="34" charset="0"/>
              </a:rPr>
              <a:t>Формулы</a:t>
            </a:r>
            <a:r>
              <a:rPr lang="ru" sz="1100" kern="0" baseline="0">
                <a:solidFill>
                  <a:schemeClr val="bg2">
                    <a:lumMod val="25000"/>
                  </a:schemeClr>
                </a:solidFill>
                <a:ea typeface="Segoe UI" pitchFamily="34" charset="0"/>
                <a:cs typeface="Segoe UI Light" panose="020B0502040204020203" pitchFamily="34" charset="0"/>
              </a:rPr>
              <a:t> &gt; </a:t>
            </a:r>
            <a:r>
              <a:rPr lang="ru" sz="1100" b="1" kern="0" baseline="0">
                <a:solidFill>
                  <a:schemeClr val="bg2">
                    <a:lumMod val="25000"/>
                  </a:schemeClr>
                </a:solidFill>
                <a:ea typeface="Segoe UI" pitchFamily="34" charset="0"/>
                <a:cs typeface="Segoe UI Light" panose="020B0502040204020203" pitchFamily="34" charset="0"/>
              </a:rPr>
              <a:t>Диспетчер имен.</a:t>
            </a:r>
            <a:r>
              <a:rPr lang="ru" sz="1100" b="0" kern="0" baseline="0">
                <a:solidFill>
                  <a:schemeClr val="bg2">
                    <a:lumMod val="25000"/>
                  </a:schemeClr>
                </a:solidFill>
                <a:ea typeface="Segoe UI" pitchFamily="34" charset="0"/>
                <a:cs typeface="Segoe UI Light" panose="020B0502040204020203" pitchFamily="34" charset="0"/>
              </a:rPr>
              <a:t> Щелкните здесь, чтобы узнать больше.</a:t>
            </a:r>
            <a:endParaRPr lang="en-US" sz="1100" b="0">
              <a:solidFill>
                <a:schemeClr val="bg2">
                  <a:lumMod val="25000"/>
                </a:schemeClr>
              </a:solidFill>
              <a:ea typeface="Segoe UI" pitchFamily="34" charset="0"/>
              <a:cs typeface="Segoe UI Light" panose="020B0502040204020203" pitchFamily="34" charset="0"/>
            </a:endParaRPr>
          </a:p>
        </xdr:txBody>
      </xdr:sp>
    </xdr:grpSp>
    <xdr:clientData/>
  </xdr:twoCellAnchor>
  <xdr:twoCellAnchor editAs="absolute">
    <xdr:from>
      <xdr:col>6</xdr:col>
      <xdr:colOff>66676</xdr:colOff>
      <xdr:row>31</xdr:row>
      <xdr:rowOff>128299</xdr:rowOff>
    </xdr:from>
    <xdr:to>
      <xdr:col>11</xdr:col>
      <xdr:colOff>495299</xdr:colOff>
      <xdr:row>40</xdr:row>
      <xdr:rowOff>77654</xdr:rowOff>
    </xdr:to>
    <xdr:grpSp>
      <xdr:nvGrpSpPr>
        <xdr:cNvPr id="97" name="ПОЛЕЗНЫЕ СВЕДЕНИЯ" descr="ПОЛЕЗНЫЕ СВЕДЕНИЯ&#10;&#10;">
          <a:extLst>
            <a:ext uri="{FF2B5EF4-FFF2-40B4-BE49-F238E27FC236}">
              <a16:creationId xmlns:a16="http://schemas.microsoft.com/office/drawing/2014/main" id="{B45D0037-257A-421E-9928-F95C71F032DA}"/>
            </a:ext>
          </a:extLst>
        </xdr:cNvPr>
        <xdr:cNvGrpSpPr/>
      </xdr:nvGrpSpPr>
      <xdr:grpSpPr>
        <a:xfrm>
          <a:off x="10648951" y="6633874"/>
          <a:ext cx="3476623" cy="1740055"/>
          <a:chOff x="6778625" y="15619705"/>
          <a:chExt cx="3174461" cy="1671345"/>
        </a:xfrm>
      </xdr:grpSpPr>
      <xdr:sp macro="" textlink="">
        <xdr:nvSpPr>
          <xdr:cNvPr id="98" name="Шаг" descr="ПОЛЕЗНЫЕ СВЕДЕНИЯ&#10;При создании формулы Excel автоматически выводит цветные границы вокруг диапазонов, на которые она ссылается; при этом цвет границ соответствует цвету диапазона в формуле. Убедитесь в этом сами: выделите ячейку F33 и нажмите клавишу F2, чтобы изменить формулу.&#10;">
            <a:extLst>
              <a:ext uri="{FF2B5EF4-FFF2-40B4-BE49-F238E27FC236}">
                <a16:creationId xmlns:a16="http://schemas.microsoft.com/office/drawing/2014/main" id="{4E9138CF-FAE4-468F-879F-55F3178773BE}"/>
              </a:ext>
            </a:extLst>
          </xdr:cNvPr>
          <xdr:cNvSpPr txBox="1"/>
        </xdr:nvSpPr>
        <xdr:spPr>
          <a:xfrm>
            <a:off x="7042959" y="15665450"/>
            <a:ext cx="2910127" cy="1625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ПОЛЕЗНЫЕ СВЕДЕНИЯ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При создании формулы Excel автоматически выводит цветные границы вокруг диапазонов, на которые она ссылается; при этом цвет границ соответствует цвету диапазона в формуле. Убедитесь в этом сами: выделите ячейку F33 и нажмите клавишу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F2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, чтобы изменить формулу.</a:t>
            </a:r>
            <a:endParaRPr lang="en-US" sz="1100">
              <a:effectLst/>
              <a:latin typeface="+mn-lt"/>
            </a:endParaRPr>
          </a:p>
        </xdr:txBody>
      </xdr:sp>
      <xdr:pic>
        <xdr:nvPicPr>
          <xdr:cNvPr id="99" name="Графический объект 147" descr="Очки">
            <a:extLst>
              <a:ext uri="{FF2B5EF4-FFF2-40B4-BE49-F238E27FC236}">
                <a16:creationId xmlns:a16="http://schemas.microsoft.com/office/drawing/2014/main" id="{66483B39-8A7B-417E-B71A-6BEA395942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778625" y="15619705"/>
            <a:ext cx="323347" cy="34911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590550</xdr:colOff>
      <xdr:row>20</xdr:row>
      <xdr:rowOff>76200</xdr:rowOff>
    </xdr:from>
    <xdr:to>
      <xdr:col>1</xdr:col>
      <xdr:colOff>2484107</xdr:colOff>
      <xdr:row>23</xdr:row>
      <xdr:rowOff>40387</xdr:rowOff>
    </xdr:to>
    <xdr:sp macro="" textlink="">
      <xdr:nvSpPr>
        <xdr:cNvPr id="100" name="кнопка_Подробнее" descr="Подробнее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2FA0FF2-19D2-4834-A888-495EE8B29B48}"/>
            </a:ext>
          </a:extLst>
        </xdr:cNvPr>
        <xdr:cNvSpPr/>
      </xdr:nvSpPr>
      <xdr:spPr>
        <a:xfrm>
          <a:off x="590550" y="4457700"/>
          <a:ext cx="2741282" cy="535687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Подробнее</a:t>
          </a:r>
        </a:p>
      </xdr:txBody>
    </xdr:sp>
    <xdr:clientData/>
  </xdr:twoCellAnchor>
  <xdr:twoCellAnchor editAs="absolute">
    <xdr:from>
      <xdr:col>0</xdr:col>
      <xdr:colOff>333375</xdr:colOff>
      <xdr:row>24</xdr:row>
      <xdr:rowOff>66674</xdr:rowOff>
    </xdr:from>
    <xdr:to>
      <xdr:col>1</xdr:col>
      <xdr:colOff>5219700</xdr:colOff>
      <xdr:row>59</xdr:row>
      <xdr:rowOff>87599</xdr:rowOff>
    </xdr:to>
    <xdr:grpSp>
      <xdr:nvGrpSpPr>
        <xdr:cNvPr id="31" name="Группа 30">
          <a:extLst>
            <a:ext uri="{FF2B5EF4-FFF2-40B4-BE49-F238E27FC236}">
              <a16:creationId xmlns:a16="http://schemas.microsoft.com/office/drawing/2014/main" id="{D5949D2E-3383-4D0F-B2BE-8F45CB07F6DF}"/>
            </a:ext>
          </a:extLst>
        </xdr:cNvPr>
        <xdr:cNvGrpSpPr/>
      </xdr:nvGrpSpPr>
      <xdr:grpSpPr>
        <a:xfrm>
          <a:off x="333375" y="5210174"/>
          <a:ext cx="5734050" cy="6793200"/>
          <a:chOff x="333375" y="5000624"/>
          <a:chExt cx="5734050" cy="6793200"/>
        </a:xfrm>
      </xdr:grpSpPr>
      <xdr:sp macro="" textlink="">
        <xdr:nvSpPr>
          <xdr:cNvPr id="101" name="текст_ФонКурса" descr="Фон">
            <a:extLst>
              <a:ext uri="{FF2B5EF4-FFF2-40B4-BE49-F238E27FC236}">
                <a16:creationId xmlns:a16="http://schemas.microsoft.com/office/drawing/2014/main" id="{D30CE2FF-D296-4C22-A916-909B28036CE0}"/>
              </a:ext>
            </a:extLst>
          </xdr:cNvPr>
          <xdr:cNvSpPr/>
        </xdr:nvSpPr>
        <xdr:spPr>
          <a:xfrm>
            <a:off x="333375" y="5000624"/>
            <a:ext cx="5734050" cy="67932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220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102" name="текст_ЗаголовокКурса" descr="Оператор ЕСЛИ с другой функцией">
            <a:extLst>
              <a:ext uri="{FF2B5EF4-FFF2-40B4-BE49-F238E27FC236}">
                <a16:creationId xmlns:a16="http://schemas.microsoft.com/office/drawing/2014/main" id="{55BCAE42-E599-41F5-B838-9192A7014F94}"/>
              </a:ext>
            </a:extLst>
          </xdr:cNvPr>
          <xdr:cNvSpPr txBox="1"/>
        </xdr:nvSpPr>
        <xdr:spPr>
          <a:xfrm>
            <a:off x="546103" y="5096668"/>
            <a:ext cx="5251444" cy="4898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Оператор ЕСЛИ с другой функцией</a:t>
            </a:r>
          </a:p>
        </xdr:txBody>
      </xdr:sp>
      <xdr:cxnSp macro="">
        <xdr:nvCxnSpPr>
          <xdr:cNvPr id="103" name="текст_Курсстрока1" descr="Декоративная линия">
            <a:extLst>
              <a:ext uri="{FF2B5EF4-FFF2-40B4-BE49-F238E27FC236}">
                <a16:creationId xmlns:a16="http://schemas.microsoft.com/office/drawing/2014/main" id="{E5355D6B-8054-4E69-B15F-4A97B4403130}"/>
              </a:ext>
            </a:extLst>
          </xdr:cNvPr>
          <xdr:cNvCxnSpPr>
            <a:cxnSpLocks/>
          </xdr:cNvCxnSpPr>
        </xdr:nvCxnSpPr>
        <xdr:spPr>
          <a:xfrm>
            <a:off x="546103" y="5682457"/>
            <a:ext cx="52482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текст_Курсстрока2" descr="Декоративная линия">
            <a:extLst>
              <a:ext uri="{FF2B5EF4-FFF2-40B4-BE49-F238E27FC236}">
                <a16:creationId xmlns:a16="http://schemas.microsoft.com/office/drawing/2014/main" id="{8891E0FB-F07B-444F-B967-54078E830D13}"/>
              </a:ext>
            </a:extLst>
          </xdr:cNvPr>
          <xdr:cNvCxnSpPr>
            <a:cxnSpLocks/>
          </xdr:cNvCxnSpPr>
        </xdr:nvCxnSpPr>
        <xdr:spPr>
          <a:xfrm>
            <a:off x="546103" y="11063992"/>
            <a:ext cx="52482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5" name="текст_КурсВведение" descr="С помощью операторов ЕСЛИ также можно выполнять дополнительные вычисления при соблюдении определенного условия. В этом примере мы определим, нужно ли взимать НДС, и вычислим его, если условие соблюдается.&#10;&#10;">
            <a:extLst>
              <a:ext uri="{FF2B5EF4-FFF2-40B4-BE49-F238E27FC236}">
                <a16:creationId xmlns:a16="http://schemas.microsoft.com/office/drawing/2014/main" id="{ADFF8084-9F56-49BC-A834-D77F4DF98649}"/>
              </a:ext>
            </a:extLst>
          </xdr:cNvPr>
          <xdr:cNvSpPr txBox="1"/>
        </xdr:nvSpPr>
        <xdr:spPr>
          <a:xfrm>
            <a:off x="571663" y="5716150"/>
            <a:ext cx="5251444" cy="6655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 помощью операторов ЕСЛИ также можно выполнять дополнительные вычисления при соблюдении определенного условия. В этом примере мы определим, нужно ли взимать НДС, и вычислим его, если условие соблюдается.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grpSp>
        <xdr:nvGrpSpPr>
          <xdr:cNvPr id="106" name="группа_Шаг">
            <a:extLst>
              <a:ext uri="{FF2B5EF4-FFF2-40B4-BE49-F238E27FC236}">
                <a16:creationId xmlns:a16="http://schemas.microsoft.com/office/drawing/2014/main" id="{5CDE601E-EF9E-420E-80FC-F58C2BA9720A}"/>
              </a:ext>
            </a:extLst>
          </xdr:cNvPr>
          <xdr:cNvGrpSpPr/>
        </xdr:nvGrpSpPr>
        <xdr:grpSpPr>
          <a:xfrm>
            <a:off x="561975" y="6486525"/>
            <a:ext cx="5295900" cy="1438275"/>
            <a:chOff x="581211" y="7810500"/>
            <a:chExt cx="5261541" cy="1438275"/>
          </a:xfrm>
        </xdr:grpSpPr>
        <xdr:sp macro="" textlink="">
          <xdr:nvSpPr>
            <xdr:cNvPr id="107" name="текст_Шаг" descr="В ячейке F33 мы ввели =ЕСЛИ(E33=&quot;Да&quot;;F31*НДС;0), где «НДС» — это именованный диапазон со значением 0,0825. Формула означает следующее: если значение в ячейке E33 равно «Да», следует умножить значение в ячейке F31 на НДС, в противном случае вернуть 0.&#10;&#10;Выберите «Нет» вместо «Да» в ячейке E33 и посмотрите, как изменится вычисление.&#10;">
              <a:extLst>
                <a:ext uri="{FF2B5EF4-FFF2-40B4-BE49-F238E27FC236}">
                  <a16:creationId xmlns:a16="http://schemas.microsoft.com/office/drawing/2014/main" id="{318A84D0-F949-42C9-8946-3CA9B70E8414}"/>
                </a:ext>
              </a:extLst>
            </xdr:cNvPr>
            <xdr:cNvSpPr txBox="1"/>
          </xdr:nvSpPr>
          <xdr:spPr>
            <a:xfrm>
              <a:off x="998369" y="7852457"/>
              <a:ext cx="4844383" cy="139631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 ячейке F33 мы ввели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=ЕСЛИ(E33="Да";F31*НДС;0)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 где «НДС» — это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именованный диапазон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со значением 0,0825. Формула означает следующее: если значение в ячейке E33 равно «Да», следует умножить значение в ячейке F31 на НДС, в противном случае вернуть 0.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Выберите «Нет» вместо «Да» в ячейке E33 и посмотрите, как изменится вычисление.</a:t>
              </a:r>
            </a:p>
          </xdr:txBody>
        </xdr:sp>
        <xdr:sp macro="" textlink="">
          <xdr:nvSpPr>
            <xdr:cNvPr id="108" name="фигура_Шаг" descr="1">
              <a:extLst>
                <a:ext uri="{FF2B5EF4-FFF2-40B4-BE49-F238E27FC236}">
                  <a16:creationId xmlns:a16="http://schemas.microsoft.com/office/drawing/2014/main" id="{189261EA-9568-4614-85E1-C72A54F4B205}"/>
                </a:ext>
              </a:extLst>
            </xdr:cNvPr>
            <xdr:cNvSpPr/>
          </xdr:nvSpPr>
          <xdr:spPr>
            <a:xfrm>
              <a:off x="581211" y="7810500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1</a:t>
              </a:r>
            </a:p>
          </xdr:txBody>
        </xdr:sp>
      </xdr:grpSp>
      <xdr:grpSp>
        <xdr:nvGrpSpPr>
          <xdr:cNvPr id="109" name="группа_Шаг">
            <a:extLst>
              <a:ext uri="{FF2B5EF4-FFF2-40B4-BE49-F238E27FC236}">
                <a16:creationId xmlns:a16="http://schemas.microsoft.com/office/drawing/2014/main" id="{BFF24217-919E-4D15-B472-AB89F019AF8E}"/>
              </a:ext>
            </a:extLst>
          </xdr:cNvPr>
          <xdr:cNvGrpSpPr/>
        </xdr:nvGrpSpPr>
        <xdr:grpSpPr>
          <a:xfrm>
            <a:off x="561975" y="8039100"/>
            <a:ext cx="5229626" cy="1257300"/>
            <a:chOff x="581211" y="8191500"/>
            <a:chExt cx="5195697" cy="1257300"/>
          </a:xfrm>
        </xdr:grpSpPr>
        <xdr:sp macro="" textlink="">
          <xdr:nvSpPr>
            <xdr:cNvPr id="110" name="текст_Шаг" descr="Затем мы добавим оператор ЕСЛИ, чтобы рассчитать стоимость доставки, если она требуется. В ячейке F35 указана формула =ЕСЛИ(E35=&quot;Да&quot;;СУММ(D28:D29)*1,25;0). Она означает следующее: если ячейка E35 имеет значение «Да», следует вычислить сумму в столбце «Количество» приведенной выше таблицы и умножить ее на 1,25, в противном случае необходимо вернуть 0.&#10;">
              <a:extLst>
                <a:ext uri="{FF2B5EF4-FFF2-40B4-BE49-F238E27FC236}">
                  <a16:creationId xmlns:a16="http://schemas.microsoft.com/office/drawing/2014/main" id="{AEA982A9-56DB-413C-8C06-090FF22D1BCD}"/>
                </a:ext>
              </a:extLst>
            </xdr:cNvPr>
            <xdr:cNvSpPr txBox="1"/>
          </xdr:nvSpPr>
          <xdr:spPr>
            <a:xfrm>
              <a:off x="998369" y="8233458"/>
              <a:ext cx="4778539" cy="12153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Затем мы добавим оператор ЕСЛИ, чтобы рассчитать стоимость доставки, если она требуется. В ячейке F35 указана формула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=ЕСЛИ(E35="Да";СУММ(D28:D29)*1,25;0)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Она означает следующее: если ячейка E35 имеет значение «Да», следует вычислить сумму в столбце «Количество» приведенной выше таблицы и умножить ее на 1,25, в противном случае необходимо вернуть 0.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111" name="фигура_Шаг" descr="2">
              <a:extLst>
                <a:ext uri="{FF2B5EF4-FFF2-40B4-BE49-F238E27FC236}">
                  <a16:creationId xmlns:a16="http://schemas.microsoft.com/office/drawing/2014/main" id="{BCCAD99D-66BF-4E4A-8BE8-EB9E7692B65E}"/>
                </a:ext>
              </a:extLst>
            </xdr:cNvPr>
            <xdr:cNvSpPr/>
          </xdr:nvSpPr>
          <xdr:spPr>
            <a:xfrm>
              <a:off x="581211" y="8191500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2</a:t>
              </a:r>
            </a:p>
          </xdr:txBody>
        </xdr:sp>
      </xdr:grpSp>
      <xdr:grpSp>
        <xdr:nvGrpSpPr>
          <xdr:cNvPr id="112" name="группа_Шаг">
            <a:extLst>
              <a:ext uri="{FF2B5EF4-FFF2-40B4-BE49-F238E27FC236}">
                <a16:creationId xmlns:a16="http://schemas.microsoft.com/office/drawing/2014/main" id="{BF6B2B89-C936-492B-9E7C-BBD3854AF4D9}"/>
              </a:ext>
            </a:extLst>
          </xdr:cNvPr>
          <xdr:cNvGrpSpPr/>
        </xdr:nvGrpSpPr>
        <xdr:grpSpPr>
          <a:xfrm>
            <a:off x="561975" y="9372600"/>
            <a:ext cx="5229626" cy="1428750"/>
            <a:chOff x="581211" y="8610600"/>
            <a:chExt cx="5195697" cy="1428750"/>
          </a:xfrm>
        </xdr:grpSpPr>
        <xdr:sp macro="" textlink="">
          <xdr:nvSpPr>
            <xdr:cNvPr id="113" name="текст_Шаг" descr="Теперь замените 1,25 в формуле в ячейке F35 словом «Доставка». По мере ввода Excel найдет и предложит вам это значение. Нажмите клавишу TAB, чтобы ввести его. Это именованный диапазон, который мы определили с помощью команды «Формулы» &gt; «Задать имя». Если вам когда-либо потребуется изменить стоимость доставки, вы можете сделать это один раз, а затем использовать имя «Доставка» в любой ячейке книги.&#10;&#10;">
              <a:extLst>
                <a:ext uri="{FF2B5EF4-FFF2-40B4-BE49-F238E27FC236}">
                  <a16:creationId xmlns:a16="http://schemas.microsoft.com/office/drawing/2014/main" id="{A722657B-F5BE-4EA5-BAAE-C570DA0E3B71}"/>
                </a:ext>
              </a:extLst>
            </xdr:cNvPr>
            <xdr:cNvSpPr txBox="1"/>
          </xdr:nvSpPr>
          <xdr:spPr>
            <a:xfrm>
              <a:off x="998369" y="8652558"/>
              <a:ext cx="4778539" cy="138679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Теперь замените 1,25 в формуле в ячейке F35 словом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Доставка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По мере ввода Excel найдет и предложит вам это значение. Нажмите клавишу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TAB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 чтобы ввести его. Это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именованный диапазон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, который мы определили с помощью команды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Формулы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 &gt;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Задать  имя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Если вам когда-либо потребуется изменить стоимость доставки, вы можете сделать это один раз, а затем использовать имя «Доставка» в любой ячейке книги.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114" name="фигура_Шаг" descr="3">
              <a:extLst>
                <a:ext uri="{FF2B5EF4-FFF2-40B4-BE49-F238E27FC236}">
                  <a16:creationId xmlns:a16="http://schemas.microsoft.com/office/drawing/2014/main" id="{9DDD420D-C72F-4430-9995-3824DE1CAC4D}"/>
                </a:ext>
              </a:extLst>
            </xdr:cNvPr>
            <xdr:cNvSpPr/>
          </xdr:nvSpPr>
          <xdr:spPr>
            <a:xfrm>
              <a:off x="581211" y="8610600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3</a:t>
              </a:r>
            </a:p>
          </xdr:txBody>
        </xdr:sp>
      </xdr:grpSp>
    </xdr:grpSp>
    <xdr:clientData/>
  </xdr:twoCellAnchor>
  <xdr:twoCellAnchor editAs="absolute">
    <xdr:from>
      <xdr:col>0</xdr:col>
      <xdr:colOff>552450</xdr:colOff>
      <xdr:row>56</xdr:row>
      <xdr:rowOff>123825</xdr:rowOff>
    </xdr:from>
    <xdr:to>
      <xdr:col>1</xdr:col>
      <xdr:colOff>980459</xdr:colOff>
      <xdr:row>58</xdr:row>
      <xdr:rowOff>78274</xdr:rowOff>
    </xdr:to>
    <xdr:sp macro="" textlink="">
      <xdr:nvSpPr>
        <xdr:cNvPr id="115" name="Кнопка«Назад»" descr="Вернуться на предыдущий лист">
          <a:hlinkClick xmlns:r="http://schemas.openxmlformats.org/officeDocument/2006/relationships" r:id="rId10" tooltip="Щелкните здесь, чтобы вернуться на предыдущий лист"/>
          <a:extLst>
            <a:ext uri="{FF2B5EF4-FFF2-40B4-BE49-F238E27FC236}">
              <a16:creationId xmlns:a16="http://schemas.microsoft.com/office/drawing/2014/main" id="{F139BCB5-BA52-4BA9-B27E-80EDF1CA9815}"/>
            </a:ext>
          </a:extLst>
        </xdr:cNvPr>
        <xdr:cNvSpPr/>
      </xdr:nvSpPr>
      <xdr:spPr>
        <a:xfrm flipH="1">
          <a:off x="552450" y="11468100"/>
          <a:ext cx="1275734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1</xdr:col>
      <xdr:colOff>3684072</xdr:colOff>
      <xdr:row>56</xdr:row>
      <xdr:rowOff>123825</xdr:rowOff>
    </xdr:from>
    <xdr:to>
      <xdr:col>1</xdr:col>
      <xdr:colOff>4959806</xdr:colOff>
      <xdr:row>58</xdr:row>
      <xdr:rowOff>78274</xdr:rowOff>
    </xdr:to>
    <xdr:sp macro="" textlink="">
      <xdr:nvSpPr>
        <xdr:cNvPr id="116" name="Кнопка«Далее»" descr="Перейти к следующему листу">
          <a:hlinkClick xmlns:r="http://schemas.openxmlformats.org/officeDocument/2006/relationships" r:id="rId1" tooltip="Щелкните здесь, чтобы вернуться на предыдущий лист"/>
          <a:extLst>
            <a:ext uri="{FF2B5EF4-FFF2-40B4-BE49-F238E27FC236}">
              <a16:creationId xmlns:a16="http://schemas.microsoft.com/office/drawing/2014/main" id="{BBF61831-9570-4211-818C-38318F38D015}"/>
            </a:ext>
          </a:extLst>
        </xdr:cNvPr>
        <xdr:cNvSpPr/>
      </xdr:nvSpPr>
      <xdr:spPr>
        <a:xfrm>
          <a:off x="4531797" y="11468100"/>
          <a:ext cx="1275734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0</xdr:col>
      <xdr:colOff>352425</xdr:colOff>
      <xdr:row>59</xdr:row>
      <xdr:rowOff>180974</xdr:rowOff>
    </xdr:from>
    <xdr:to>
      <xdr:col>1</xdr:col>
      <xdr:colOff>5237988</xdr:colOff>
      <xdr:row>72</xdr:row>
      <xdr:rowOff>188474</xdr:rowOff>
    </xdr:to>
    <xdr:grpSp>
      <xdr:nvGrpSpPr>
        <xdr:cNvPr id="117" name="Группа 116">
          <a:extLst>
            <a:ext uri="{FF2B5EF4-FFF2-40B4-BE49-F238E27FC236}">
              <a16:creationId xmlns:a16="http://schemas.microsoft.com/office/drawing/2014/main" id="{A4810020-C4C7-483B-BB90-6111CE7B8559}"/>
            </a:ext>
          </a:extLst>
        </xdr:cNvPr>
        <xdr:cNvGrpSpPr/>
      </xdr:nvGrpSpPr>
      <xdr:grpSpPr>
        <a:xfrm>
          <a:off x="352425" y="12096749"/>
          <a:ext cx="5733288" cy="2484000"/>
          <a:chOff x="352425" y="10715624"/>
          <a:chExt cx="5733288" cy="2484000"/>
        </a:xfrm>
      </xdr:grpSpPr>
      <xdr:sp macro="" textlink="">
        <xdr:nvSpPr>
          <xdr:cNvPr id="118" name="Прямоугольник 117">
            <a:extLst>
              <a:ext uri="{FF2B5EF4-FFF2-40B4-BE49-F238E27FC236}">
                <a16:creationId xmlns:a16="http://schemas.microsoft.com/office/drawing/2014/main" id="{41DB9D98-1135-4D04-A479-162FD39F4940}"/>
              </a:ext>
            </a:extLst>
          </xdr:cNvPr>
          <xdr:cNvSpPr/>
        </xdr:nvSpPr>
        <xdr:spPr>
          <a:xfrm>
            <a:off x="352425" y="10715624"/>
            <a:ext cx="5733288" cy="2484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/>
          </a:p>
        </xdr:txBody>
      </xdr:sp>
      <xdr:sp macro="" textlink="">
        <xdr:nvSpPr>
          <xdr:cNvPr id="119" name="Шаг" descr="Дополнительные сведения в Интернете&#10;">
            <a:extLst>
              <a:ext uri="{FF2B5EF4-FFF2-40B4-BE49-F238E27FC236}">
                <a16:creationId xmlns:a16="http://schemas.microsoft.com/office/drawing/2014/main" id="{CBBC5FE0-1D35-4FA7-A2AF-7339726448D7}"/>
              </a:ext>
            </a:extLst>
          </xdr:cNvPr>
          <xdr:cNvSpPr txBox="1"/>
        </xdr:nvSpPr>
        <xdr:spPr>
          <a:xfrm>
            <a:off x="544407" y="10814879"/>
            <a:ext cx="5220000" cy="394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Дополнительные сведения в Интернете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cxnSp macro="">
        <xdr:nvCxnSpPr>
          <xdr:cNvPr id="120" name="Прямая соединительная линия 119" descr="Декоративная линия">
            <a:extLst>
              <a:ext uri="{FF2B5EF4-FFF2-40B4-BE49-F238E27FC236}">
                <a16:creationId xmlns:a16="http://schemas.microsoft.com/office/drawing/2014/main" id="{C4B15DAA-8EC7-428E-B272-5E6947DC8294}"/>
              </a:ext>
            </a:extLst>
          </xdr:cNvPr>
          <xdr:cNvCxnSpPr>
            <a:cxnSpLocks/>
          </xdr:cNvCxnSpPr>
        </xdr:nvCxnSpPr>
        <xdr:spPr>
          <a:xfrm>
            <a:off x="585659" y="11261343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Прямая соединительная линия 120" descr="Декоративная линия">
            <a:extLst>
              <a:ext uri="{FF2B5EF4-FFF2-40B4-BE49-F238E27FC236}">
                <a16:creationId xmlns:a16="http://schemas.microsoft.com/office/drawing/2014/main" id="{6592F069-6C25-4390-8BAB-B70BB811B85E}"/>
              </a:ext>
            </a:extLst>
          </xdr:cNvPr>
          <xdr:cNvCxnSpPr>
            <a:cxnSpLocks/>
          </xdr:cNvCxnSpPr>
        </xdr:nvCxnSpPr>
        <xdr:spPr>
          <a:xfrm>
            <a:off x="585659" y="12989157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Прямая соединительная линия 71" descr="Декоративная линия">
            <a:extLst>
              <a:ext uri="{FF2B5EF4-FFF2-40B4-BE49-F238E27FC236}">
                <a16:creationId xmlns:a16="http://schemas.microsoft.com/office/drawing/2014/main" id="{C5EC57CE-9B46-46D7-8D21-0D9415D893AF}"/>
              </a:ext>
            </a:extLst>
          </xdr:cNvPr>
          <xdr:cNvCxnSpPr>
            <a:cxnSpLocks/>
          </xdr:cNvCxnSpPr>
        </xdr:nvCxnSpPr>
        <xdr:spPr>
          <a:xfrm>
            <a:off x="544407" y="11261343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Прямая соединительная линия 72" descr="Декоративная линия">
            <a:extLst>
              <a:ext uri="{FF2B5EF4-FFF2-40B4-BE49-F238E27FC236}">
                <a16:creationId xmlns:a16="http://schemas.microsoft.com/office/drawing/2014/main" id="{7C9853C8-AABB-40DC-8E21-1B84AEE76B0B}"/>
              </a:ext>
            </a:extLst>
          </xdr:cNvPr>
          <xdr:cNvCxnSpPr>
            <a:cxnSpLocks/>
          </xdr:cNvCxnSpPr>
        </xdr:nvCxnSpPr>
        <xdr:spPr>
          <a:xfrm>
            <a:off x="544407" y="12989157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0</xdr:col>
      <xdr:colOff>562406</xdr:colOff>
      <xdr:row>62</xdr:row>
      <xdr:rowOff>188044</xdr:rowOff>
    </xdr:from>
    <xdr:to>
      <xdr:col>1</xdr:col>
      <xdr:colOff>2581275</xdr:colOff>
      <xdr:row>64</xdr:row>
      <xdr:rowOff>166123</xdr:rowOff>
    </xdr:to>
    <xdr:grpSp>
      <xdr:nvGrpSpPr>
        <xdr:cNvPr id="30" name="Группа 29">
          <a:extLst>
            <a:ext uri="{FF2B5EF4-FFF2-40B4-BE49-F238E27FC236}">
              <a16:creationId xmlns:a16="http://schemas.microsoft.com/office/drawing/2014/main" id="{734055A1-8444-407E-B760-0BF685C60AE8}"/>
            </a:ext>
          </a:extLst>
        </xdr:cNvPr>
        <xdr:cNvGrpSpPr/>
      </xdr:nvGrpSpPr>
      <xdr:grpSpPr>
        <a:xfrm>
          <a:off x="562406" y="12675319"/>
          <a:ext cx="2866594" cy="359079"/>
          <a:chOff x="562406" y="11418019"/>
          <a:chExt cx="2866594" cy="359079"/>
        </a:xfrm>
      </xdr:grpSpPr>
      <xdr:sp macro="" textlink="">
        <xdr:nvSpPr>
          <xdr:cNvPr id="122" name="Шаг" descr="Гиперссылка на веб-страницу о функции ЕСЛИ&#10;&#10;">
            <a:hlinkClick xmlns:r="http://schemas.openxmlformats.org/officeDocument/2006/relationships" r:id="rId11" tooltip="Подробные сведения о функции ЕСЛИ в Интернете"/>
            <a:extLst>
              <a:ext uri="{FF2B5EF4-FFF2-40B4-BE49-F238E27FC236}">
                <a16:creationId xmlns:a16="http://schemas.microsoft.com/office/drawing/2014/main" id="{C0A7CC9F-DB96-4F0E-B2C2-8BD914BE74EC}"/>
              </a:ext>
            </a:extLst>
          </xdr:cNvPr>
          <xdr:cNvSpPr txBox="1"/>
        </xdr:nvSpPr>
        <xdr:spPr>
          <a:xfrm>
            <a:off x="1027591" y="11492379"/>
            <a:ext cx="2401409" cy="2539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ЕСЛИ</a:t>
            </a:r>
          </a:p>
        </xdr:txBody>
      </xdr:sp>
      <xdr:pic>
        <xdr:nvPicPr>
          <xdr:cNvPr id="123" name="Графический объект 22" descr="Стрелка">
            <a:hlinkClick xmlns:r="http://schemas.openxmlformats.org/officeDocument/2006/relationships" r:id="rId11" tooltip="Дополнительные сведения в Интернете"/>
            <a:extLst>
              <a:ext uri="{FF2B5EF4-FFF2-40B4-BE49-F238E27FC236}">
                <a16:creationId xmlns:a16="http://schemas.microsoft.com/office/drawing/2014/main" id="{F03E29E8-34F3-4B70-A14F-57CAD62E00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62406" y="11418019"/>
            <a:ext cx="492262" cy="359079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562406</xdr:colOff>
      <xdr:row>64</xdr:row>
      <xdr:rowOff>182110</xdr:rowOff>
    </xdr:from>
    <xdr:to>
      <xdr:col>1</xdr:col>
      <xdr:colOff>2609850</xdr:colOff>
      <xdr:row>66</xdr:row>
      <xdr:rowOff>165499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B13CA61E-C0BF-4685-82BB-1ADFEB7A3BE0}"/>
            </a:ext>
          </a:extLst>
        </xdr:cNvPr>
        <xdr:cNvGrpSpPr/>
      </xdr:nvGrpSpPr>
      <xdr:grpSpPr>
        <a:xfrm>
          <a:off x="562406" y="13050385"/>
          <a:ext cx="2895169" cy="364389"/>
          <a:chOff x="562406" y="11793085"/>
          <a:chExt cx="2895169" cy="364389"/>
        </a:xfrm>
      </xdr:grpSpPr>
      <xdr:sp macro="" textlink="">
        <xdr:nvSpPr>
          <xdr:cNvPr id="124" name="Шаг" descr="Гиперссылка на веб-страницу о функции ЕСЛИМН&#10;">
            <a:hlinkClick xmlns:r="http://schemas.openxmlformats.org/officeDocument/2006/relationships" r:id="rId14" tooltip="Подробные сведения о функции ЕСЛИМН в Интернете"/>
            <a:extLst>
              <a:ext uri="{FF2B5EF4-FFF2-40B4-BE49-F238E27FC236}">
                <a16:creationId xmlns:a16="http://schemas.microsoft.com/office/drawing/2014/main" id="{AD0BC53A-C4C7-465E-A99E-D4C6A4A4165C}"/>
              </a:ext>
            </a:extLst>
          </xdr:cNvPr>
          <xdr:cNvSpPr txBox="1"/>
        </xdr:nvSpPr>
        <xdr:spPr>
          <a:xfrm>
            <a:off x="1027591" y="11870261"/>
            <a:ext cx="2429984" cy="2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ЕСЛИМН</a:t>
            </a:r>
          </a:p>
        </xdr:txBody>
      </xdr:sp>
      <xdr:pic>
        <xdr:nvPicPr>
          <xdr:cNvPr id="125" name="Графический объект 22" descr="Стрелка">
            <a:hlinkClick xmlns:r="http://schemas.openxmlformats.org/officeDocument/2006/relationships" r:id="rId14" tooltip="Дополнительные сведения в Интернете"/>
            <a:extLst>
              <a:ext uri="{FF2B5EF4-FFF2-40B4-BE49-F238E27FC236}">
                <a16:creationId xmlns:a16="http://schemas.microsoft.com/office/drawing/2014/main" id="{7BD81F44-D831-47C7-9E63-4854293FE9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62406" y="11793085"/>
            <a:ext cx="492262" cy="364389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562406</xdr:colOff>
      <xdr:row>69</xdr:row>
      <xdr:rowOff>22528</xdr:rowOff>
    </xdr:from>
    <xdr:to>
      <xdr:col>1</xdr:col>
      <xdr:colOff>3038475</xdr:colOff>
      <xdr:row>71</xdr:row>
      <xdr:rowOff>5917</xdr:rowOff>
    </xdr:to>
    <xdr:grpSp>
      <xdr:nvGrpSpPr>
        <xdr:cNvPr id="20" name="Группа 19">
          <a:extLst>
            <a:ext uri="{FF2B5EF4-FFF2-40B4-BE49-F238E27FC236}">
              <a16:creationId xmlns:a16="http://schemas.microsoft.com/office/drawing/2014/main" id="{0552D274-B7DD-441F-82AB-F9C18F3F1907}"/>
            </a:ext>
          </a:extLst>
        </xdr:cNvPr>
        <xdr:cNvGrpSpPr/>
      </xdr:nvGrpSpPr>
      <xdr:grpSpPr>
        <a:xfrm>
          <a:off x="562406" y="13843303"/>
          <a:ext cx="3323794" cy="364389"/>
          <a:chOff x="562406" y="12586003"/>
          <a:chExt cx="3323794" cy="364389"/>
        </a:xfrm>
      </xdr:grpSpPr>
      <xdr:sp macro="" textlink="">
        <xdr:nvSpPr>
          <xdr:cNvPr id="126" name="Шаг" descr="Гиперссылка на веб-страницу «Бесплатные учебные веб-курсы по Excel»&#10;">
            <a:hlinkClick xmlns:r="http://schemas.openxmlformats.org/officeDocument/2006/relationships" r:id="rId15" tooltip="Сведения в Интернете о бесплатных учебных веб-курсах по Excel"/>
            <a:extLst>
              <a:ext uri="{FF2B5EF4-FFF2-40B4-BE49-F238E27FC236}">
                <a16:creationId xmlns:a16="http://schemas.microsoft.com/office/drawing/2014/main" id="{7825C514-8FA2-4A6D-AF39-649B9CAF9255}"/>
              </a:ext>
            </a:extLst>
          </xdr:cNvPr>
          <xdr:cNvSpPr txBox="1"/>
        </xdr:nvSpPr>
        <xdr:spPr>
          <a:xfrm>
            <a:off x="1040199" y="12637107"/>
            <a:ext cx="2846001" cy="248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Бесплатные учебные веб-курсы по Excel</a:t>
            </a:r>
          </a:p>
        </xdr:txBody>
      </xdr:sp>
      <xdr:pic>
        <xdr:nvPicPr>
          <xdr:cNvPr id="127" name="Графический объект 22" descr="Стрелка">
            <a:hlinkClick xmlns:r="http://schemas.openxmlformats.org/officeDocument/2006/relationships" r:id="rId15" tooltip="Дополнительные сведения в Интернете"/>
            <a:extLst>
              <a:ext uri="{FF2B5EF4-FFF2-40B4-BE49-F238E27FC236}">
                <a16:creationId xmlns:a16="http://schemas.microsoft.com/office/drawing/2014/main" id="{7204CB75-A78D-4C34-9CDE-0C456FE297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62406" y="12586003"/>
            <a:ext cx="492262" cy="364389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562406</xdr:colOff>
      <xdr:row>66</xdr:row>
      <xdr:rowOff>181486</xdr:rowOff>
    </xdr:from>
    <xdr:to>
      <xdr:col>1</xdr:col>
      <xdr:colOff>2609850</xdr:colOff>
      <xdr:row>68</xdr:row>
      <xdr:rowOff>164875</xdr:rowOff>
    </xdr:to>
    <xdr:grpSp>
      <xdr:nvGrpSpPr>
        <xdr:cNvPr id="25" name="Группа 24">
          <a:extLst>
            <a:ext uri="{FF2B5EF4-FFF2-40B4-BE49-F238E27FC236}">
              <a16:creationId xmlns:a16="http://schemas.microsoft.com/office/drawing/2014/main" id="{F1DB9CDB-5B09-4600-8014-FE097D5CAA92}"/>
            </a:ext>
          </a:extLst>
        </xdr:cNvPr>
        <xdr:cNvGrpSpPr/>
      </xdr:nvGrpSpPr>
      <xdr:grpSpPr>
        <a:xfrm>
          <a:off x="562406" y="13430761"/>
          <a:ext cx="2895169" cy="364389"/>
          <a:chOff x="562406" y="12173461"/>
          <a:chExt cx="2895169" cy="364389"/>
        </a:xfrm>
      </xdr:grpSpPr>
      <xdr:sp macro="" textlink="">
        <xdr:nvSpPr>
          <xdr:cNvPr id="128" name="Шаг" descr="Гиперссылка на веб-страницу о сложных операторах ЕСЛИ&#10;">
            <a:hlinkClick xmlns:r="http://schemas.openxmlformats.org/officeDocument/2006/relationships" r:id="rId16" tooltip="Подробные сведения о сложных операторах ЕСЛИ в Интернете"/>
            <a:extLst>
              <a:ext uri="{FF2B5EF4-FFF2-40B4-BE49-F238E27FC236}">
                <a16:creationId xmlns:a16="http://schemas.microsoft.com/office/drawing/2014/main" id="{A9F717A5-C172-477E-B496-085AE6F25AC6}"/>
              </a:ext>
            </a:extLst>
          </xdr:cNvPr>
          <xdr:cNvSpPr txBox="1"/>
        </xdr:nvSpPr>
        <xdr:spPr>
          <a:xfrm>
            <a:off x="1027591" y="12241736"/>
            <a:ext cx="2429984" cy="2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Сложные операторы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ЕСЛИ</a:t>
            </a:r>
          </a:p>
        </xdr:txBody>
      </xdr:sp>
      <xdr:pic>
        <xdr:nvPicPr>
          <xdr:cNvPr id="129" name="Графический объект 22" descr="Стрелка">
            <a:hlinkClick xmlns:r="http://schemas.openxmlformats.org/officeDocument/2006/relationships" r:id="rId16" tooltip="Дополнительные сведения в Интернете"/>
            <a:extLst>
              <a:ext uri="{FF2B5EF4-FFF2-40B4-BE49-F238E27FC236}">
                <a16:creationId xmlns:a16="http://schemas.microsoft.com/office/drawing/2014/main" id="{78075E02-0367-42F4-95B3-C5CC08749A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62406" y="12173461"/>
            <a:ext cx="492262" cy="364389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419100</xdr:colOff>
      <xdr:row>54</xdr:row>
      <xdr:rowOff>133350</xdr:rowOff>
    </xdr:from>
    <xdr:to>
      <xdr:col>4</xdr:col>
      <xdr:colOff>409215</xdr:colOff>
      <xdr:row>66</xdr:row>
      <xdr:rowOff>56874</xdr:rowOff>
    </xdr:to>
    <xdr:pic>
      <xdr:nvPicPr>
        <xdr:cNvPr id="2" name="Рисунок 1">
          <a:extLst>
            <a:ext uri="{FF2B5EF4-FFF2-40B4-BE49-F238E27FC236}">
              <a16:creationId xmlns:a16="http://schemas.microsoft.com/office/drawing/2014/main" id="{BC697E68-A9C2-4527-8965-5C48235F5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1096625"/>
          <a:ext cx="2876190" cy="220952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0</xdr:row>
      <xdr:rowOff>333375</xdr:rowOff>
    </xdr:from>
    <xdr:to>
      <xdr:col>1</xdr:col>
      <xdr:colOff>5248275</xdr:colOff>
      <xdr:row>32</xdr:row>
      <xdr:rowOff>109875</xdr:rowOff>
    </xdr:to>
    <xdr:sp macro="" textlink="">
      <xdr:nvSpPr>
        <xdr:cNvPr id="81" name="текст_ФонКурса" descr="Фон">
          <a:extLst>
            <a:ext uri="{FF2B5EF4-FFF2-40B4-BE49-F238E27FC236}">
              <a16:creationId xmlns:a16="http://schemas.microsoft.com/office/drawing/2014/main" id="{CCCCB7BF-CE8C-47D9-ADC2-CAB1C8F28444}"/>
            </a:ext>
          </a:extLst>
        </xdr:cNvPr>
        <xdr:cNvSpPr/>
      </xdr:nvSpPr>
      <xdr:spPr>
        <a:xfrm>
          <a:off x="361950" y="333375"/>
          <a:ext cx="5734050" cy="6444000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 rtl="0"/>
          <a:endParaRPr lang="en-US" sz="2200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574678</xdr:colOff>
      <xdr:row>0</xdr:row>
      <xdr:rowOff>457199</xdr:rowOff>
    </xdr:from>
    <xdr:to>
      <xdr:col>1</xdr:col>
      <xdr:colOff>4978397</xdr:colOff>
      <xdr:row>1</xdr:row>
      <xdr:rowOff>181041</xdr:rowOff>
    </xdr:to>
    <xdr:sp macro="" textlink="">
      <xdr:nvSpPr>
        <xdr:cNvPr id="82" name="текст_ЗаголовокКурса" descr="ВПР">
          <a:extLst>
            <a:ext uri="{FF2B5EF4-FFF2-40B4-BE49-F238E27FC236}">
              <a16:creationId xmlns:a16="http://schemas.microsoft.com/office/drawing/2014/main" id="{3EBEB25B-D27C-4E9F-8C1A-4065BEB3CAE6}"/>
            </a:ext>
          </a:extLst>
        </xdr:cNvPr>
        <xdr:cNvSpPr txBox="1"/>
      </xdr:nvSpPr>
      <xdr:spPr>
        <a:xfrm>
          <a:off x="574678" y="457199"/>
          <a:ext cx="5251444" cy="4858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22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ВПР</a:t>
          </a:r>
        </a:p>
      </xdr:txBody>
    </xdr:sp>
    <xdr:clientData/>
  </xdr:twoCellAnchor>
  <xdr:twoCellAnchor>
    <xdr:from>
      <xdr:col>0</xdr:col>
      <xdr:colOff>576276</xdr:colOff>
      <xdr:row>2</xdr:row>
      <xdr:rowOff>76201</xdr:rowOff>
    </xdr:from>
    <xdr:to>
      <xdr:col>1</xdr:col>
      <xdr:colOff>4976799</xdr:colOff>
      <xdr:row>2</xdr:row>
      <xdr:rowOff>76201</xdr:rowOff>
    </xdr:to>
    <xdr:cxnSp macro="">
      <xdr:nvCxnSpPr>
        <xdr:cNvPr id="83" name="текст_Курсстрока1" descr="Декоративная линия">
          <a:extLst>
            <a:ext uri="{FF2B5EF4-FFF2-40B4-BE49-F238E27FC236}">
              <a16:creationId xmlns:a16="http://schemas.microsoft.com/office/drawing/2014/main" id="{AD07593A-5131-4BF8-AF2C-A67F78121C50}"/>
            </a:ext>
          </a:extLst>
        </xdr:cNvPr>
        <xdr:cNvCxnSpPr>
          <a:cxnSpLocks/>
        </xdr:cNvCxnSpPr>
      </xdr:nvCxnSpPr>
      <xdr:spPr>
        <a:xfrm>
          <a:off x="576276" y="1028701"/>
          <a:ext cx="5248248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576276</xdr:colOff>
      <xdr:row>27</xdr:row>
      <xdr:rowOff>178304</xdr:rowOff>
    </xdr:from>
    <xdr:to>
      <xdr:col>1</xdr:col>
      <xdr:colOff>4976799</xdr:colOff>
      <xdr:row>27</xdr:row>
      <xdr:rowOff>178304</xdr:rowOff>
    </xdr:to>
    <xdr:cxnSp macro="">
      <xdr:nvCxnSpPr>
        <xdr:cNvPr id="84" name="текст_Курсстрока2" descr="Декоративная линия">
          <a:extLst>
            <a:ext uri="{FF2B5EF4-FFF2-40B4-BE49-F238E27FC236}">
              <a16:creationId xmlns:a16="http://schemas.microsoft.com/office/drawing/2014/main" id="{9A557736-21EE-450F-A993-CC32130FE9FB}"/>
            </a:ext>
          </a:extLst>
        </xdr:cNvPr>
        <xdr:cNvCxnSpPr>
          <a:cxnSpLocks/>
        </xdr:cNvCxnSpPr>
      </xdr:nvCxnSpPr>
      <xdr:spPr>
        <a:xfrm>
          <a:off x="576276" y="5893304"/>
          <a:ext cx="5248248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571663</xdr:colOff>
      <xdr:row>2</xdr:row>
      <xdr:rowOff>109615</xdr:rowOff>
    </xdr:from>
    <xdr:to>
      <xdr:col>1</xdr:col>
      <xdr:colOff>4975382</xdr:colOff>
      <xdr:row>5</xdr:row>
      <xdr:rowOff>180974</xdr:rowOff>
    </xdr:to>
    <xdr:sp macro="" textlink="">
      <xdr:nvSpPr>
        <xdr:cNvPr id="85" name="текст_КурсВведение" descr="ВПР — одна из самых популярных (и наших любимых!) функций Excel. Она позволяет найти значение в столбце слева, а затем вернуть данные из другого столбца справа. У функции ВПР следующий синтаксис:&#10;&#10;">
          <a:extLst>
            <a:ext uri="{FF2B5EF4-FFF2-40B4-BE49-F238E27FC236}">
              <a16:creationId xmlns:a16="http://schemas.microsoft.com/office/drawing/2014/main" id="{F9326461-020C-4B3F-9364-21D592985D33}"/>
            </a:ext>
          </a:extLst>
        </xdr:cNvPr>
        <xdr:cNvSpPr txBox="1"/>
      </xdr:nvSpPr>
      <xdr:spPr>
        <a:xfrm>
          <a:off x="571663" y="1062115"/>
          <a:ext cx="5251444" cy="642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ВПР — одна из самых популярных (и наших любимых!) функций Excel. Она позволяет найти значение в столбце слева, а затем вернуть данные из другого столбца справа. У функции ВПР следующий синтаксис: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600144</xdr:colOff>
      <xdr:row>19</xdr:row>
      <xdr:rowOff>166663</xdr:rowOff>
    </xdr:from>
    <xdr:to>
      <xdr:col>1</xdr:col>
      <xdr:colOff>4991587</xdr:colOff>
      <xdr:row>23</xdr:row>
      <xdr:rowOff>114300</xdr:rowOff>
    </xdr:to>
    <xdr:grpSp>
      <xdr:nvGrpSpPr>
        <xdr:cNvPr id="3" name="Группа 2">
          <a:extLst>
            <a:ext uri="{FF2B5EF4-FFF2-40B4-BE49-F238E27FC236}">
              <a16:creationId xmlns:a16="http://schemas.microsoft.com/office/drawing/2014/main" id="{A668747A-127E-4399-9A99-C2F143BEE89C}"/>
            </a:ext>
          </a:extLst>
        </xdr:cNvPr>
        <xdr:cNvGrpSpPr/>
      </xdr:nvGrpSpPr>
      <xdr:grpSpPr>
        <a:xfrm>
          <a:off x="600144" y="4357663"/>
          <a:ext cx="5239168" cy="709637"/>
          <a:chOff x="561975" y="4357663"/>
          <a:chExt cx="5229626" cy="596207"/>
        </a:xfrm>
      </xdr:grpSpPr>
      <xdr:sp macro="" textlink="">
        <xdr:nvSpPr>
          <xdr:cNvPr id="87" name="текст_Шаг" descr="В ячейке D22 введите =ВПР(C22;C17:D20;2;ЛОЖЬ). Правильный ответ для значения «Яблоки» — 50. Функция ВПР нашла значение «Яблоки», а затем вернула количество, указанное в столбце справа от него.&#10;&#10;">
            <a:extLst>
              <a:ext uri="{FF2B5EF4-FFF2-40B4-BE49-F238E27FC236}">
                <a16:creationId xmlns:a16="http://schemas.microsoft.com/office/drawing/2014/main" id="{86ABB85B-8210-41EF-B43E-824CD9F5377E}"/>
              </a:ext>
            </a:extLst>
          </xdr:cNvPr>
          <xdr:cNvSpPr txBox="1"/>
        </xdr:nvSpPr>
        <xdr:spPr>
          <a:xfrm>
            <a:off x="981857" y="4399621"/>
            <a:ext cx="4809744" cy="554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 ячейке D22 введите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=ВПР(C22;C17:D20;2;ЛОЖЬ). 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Правильный ответ для значения «Яблоки» — 50. Функция ВПР нашла значение «Яблоки», а затем вернула количество, указанное в столбце справа от него.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88" name="фигура_Шаг" descr="1">
            <a:extLst>
              <a:ext uri="{FF2B5EF4-FFF2-40B4-BE49-F238E27FC236}">
                <a16:creationId xmlns:a16="http://schemas.microsoft.com/office/drawing/2014/main" id="{8141B3F4-E0DE-4A23-A755-A408DA852693}"/>
              </a:ext>
            </a:extLst>
          </xdr:cNvPr>
          <xdr:cNvSpPr/>
        </xdr:nvSpPr>
        <xdr:spPr>
          <a:xfrm>
            <a:off x="561975" y="4357663"/>
            <a:ext cx="374621" cy="308506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1</a:t>
            </a:r>
          </a:p>
        </xdr:txBody>
      </xdr:sp>
    </xdr:grpSp>
    <xdr:clientData/>
  </xdr:twoCellAnchor>
  <xdr:twoCellAnchor>
    <xdr:from>
      <xdr:col>0</xdr:col>
      <xdr:colOff>600144</xdr:colOff>
      <xdr:row>23</xdr:row>
      <xdr:rowOff>119038</xdr:rowOff>
    </xdr:from>
    <xdr:to>
      <xdr:col>1</xdr:col>
      <xdr:colOff>4991587</xdr:colOff>
      <xdr:row>26</xdr:row>
      <xdr:rowOff>180975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7248ACEA-EF5C-407C-9476-B09DAE8F48D8}"/>
            </a:ext>
          </a:extLst>
        </xdr:cNvPr>
        <xdr:cNvGrpSpPr/>
      </xdr:nvGrpSpPr>
      <xdr:grpSpPr>
        <a:xfrm>
          <a:off x="600144" y="5072038"/>
          <a:ext cx="5239168" cy="633437"/>
          <a:chOff x="561975" y="5072038"/>
          <a:chExt cx="5229626" cy="633437"/>
        </a:xfrm>
      </xdr:grpSpPr>
      <xdr:sp macro="" textlink="">
        <xdr:nvSpPr>
          <xdr:cNvPr id="90" name="текст_Шаг" descr="Теперь попробуйте самостоятельно ввести формулу для таблицы «Мясо» в ячейку G22. Вы должны получить формулу =ВПР(F22;F17:G20;2;ЛОЖЬ).&#10;&#10;">
            <a:extLst>
              <a:ext uri="{FF2B5EF4-FFF2-40B4-BE49-F238E27FC236}">
                <a16:creationId xmlns:a16="http://schemas.microsoft.com/office/drawing/2014/main" id="{B68C980F-AA7F-4426-944A-38ECD1891095}"/>
              </a:ext>
            </a:extLst>
          </xdr:cNvPr>
          <xdr:cNvSpPr txBox="1"/>
        </xdr:nvSpPr>
        <xdr:spPr>
          <a:xfrm>
            <a:off x="981857" y="5113996"/>
            <a:ext cx="4809744" cy="5914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Теперь попробуйте самостоятельно ввести формулу для таблицы «Мясо» в ячейку G22. Вы должны получить формулу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=ВПР(F22;F17:G20;2;ЛОЖЬ).</a:t>
            </a: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91" name="фигура_Шаг" descr="2">
            <a:extLst>
              <a:ext uri="{FF2B5EF4-FFF2-40B4-BE49-F238E27FC236}">
                <a16:creationId xmlns:a16="http://schemas.microsoft.com/office/drawing/2014/main" id="{A53BC9E1-CA0C-49C0-9F67-A1E10DB61244}"/>
              </a:ext>
            </a:extLst>
          </xdr:cNvPr>
          <xdr:cNvSpPr/>
        </xdr:nvSpPr>
        <xdr:spPr>
          <a:xfrm>
            <a:off x="561975" y="5072038"/>
            <a:ext cx="374621" cy="366863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2</a:t>
            </a:r>
          </a:p>
        </xdr:txBody>
      </xdr:sp>
    </xdr:grpSp>
    <xdr:clientData/>
  </xdr:twoCellAnchor>
  <xdr:twoCellAnchor editAs="absolute">
    <xdr:from>
      <xdr:col>1</xdr:col>
      <xdr:colOff>3684636</xdr:colOff>
      <xdr:row>28</xdr:row>
      <xdr:rowOff>185713</xdr:rowOff>
    </xdr:from>
    <xdr:to>
      <xdr:col>1</xdr:col>
      <xdr:colOff>4959806</xdr:colOff>
      <xdr:row>30</xdr:row>
      <xdr:rowOff>140162</xdr:rowOff>
    </xdr:to>
    <xdr:sp macro="" textlink="">
      <xdr:nvSpPr>
        <xdr:cNvPr id="92" name="Кнопка«Далее»" descr="Перейти к следующему листу">
          <a:hlinkClick xmlns:r="http://schemas.openxmlformats.org/officeDocument/2006/relationships" r:id="rId1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36902CA8-91B2-4B89-B6B0-496D7B8D6012}"/>
            </a:ext>
          </a:extLst>
        </xdr:cNvPr>
        <xdr:cNvSpPr/>
      </xdr:nvSpPr>
      <xdr:spPr>
        <a:xfrm>
          <a:off x="4532361" y="6091213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/>
  </xdr:twoCellAnchor>
  <xdr:twoCellAnchor>
    <xdr:from>
      <xdr:col>0</xdr:col>
      <xdr:colOff>333375</xdr:colOff>
      <xdr:row>65</xdr:row>
      <xdr:rowOff>57122</xdr:rowOff>
    </xdr:from>
    <xdr:to>
      <xdr:col>1</xdr:col>
      <xdr:colOff>5218938</xdr:colOff>
      <xdr:row>80</xdr:row>
      <xdr:rowOff>133622</xdr:rowOff>
    </xdr:to>
    <xdr:grpSp>
      <xdr:nvGrpSpPr>
        <xdr:cNvPr id="93" name="Группа 92">
          <a:extLst>
            <a:ext uri="{FF2B5EF4-FFF2-40B4-BE49-F238E27FC236}">
              <a16:creationId xmlns:a16="http://schemas.microsoft.com/office/drawing/2014/main" id="{6AD4BB42-C99A-40EC-9E51-AFE390CD9507}"/>
            </a:ext>
          </a:extLst>
        </xdr:cNvPr>
        <xdr:cNvGrpSpPr/>
      </xdr:nvGrpSpPr>
      <xdr:grpSpPr>
        <a:xfrm>
          <a:off x="333375" y="13011122"/>
          <a:ext cx="5733288" cy="2934000"/>
          <a:chOff x="0" y="5524500"/>
          <a:chExt cx="5695950" cy="2934000"/>
        </a:xfrm>
      </xdr:grpSpPr>
      <xdr:sp macro="" textlink="">
        <xdr:nvSpPr>
          <xdr:cNvPr id="94" name="Прямоугольник 93">
            <a:extLst>
              <a:ext uri="{FF2B5EF4-FFF2-40B4-BE49-F238E27FC236}">
                <a16:creationId xmlns:a16="http://schemas.microsoft.com/office/drawing/2014/main" id="{CB220E95-575B-4BFE-A97A-4AFC50F13B21}"/>
              </a:ext>
            </a:extLst>
          </xdr:cNvPr>
          <xdr:cNvSpPr/>
        </xdr:nvSpPr>
        <xdr:spPr>
          <a:xfrm>
            <a:off x="0" y="5524500"/>
            <a:ext cx="5695950" cy="2934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/>
          </a:p>
        </xdr:txBody>
      </xdr:sp>
      <xdr:sp macro="" textlink="">
        <xdr:nvSpPr>
          <xdr:cNvPr id="95" name="Шаг" descr="Дополнительные сведения в Интернете&#10;">
            <a:extLst>
              <a:ext uri="{FF2B5EF4-FFF2-40B4-BE49-F238E27FC236}">
                <a16:creationId xmlns:a16="http://schemas.microsoft.com/office/drawing/2014/main" id="{FE87144C-F98E-4BA5-A974-1D4FD44ACF2A}"/>
              </a:ext>
            </a:extLst>
          </xdr:cNvPr>
          <xdr:cNvSpPr txBox="1"/>
        </xdr:nvSpPr>
        <xdr:spPr>
          <a:xfrm>
            <a:off x="230082" y="5623754"/>
            <a:ext cx="5220000" cy="394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Дополнительные сведения в Интернете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cxnSp macro="">
        <xdr:nvCxnSpPr>
          <xdr:cNvPr id="96" name="Прямая соединительная линия 95" descr="Декоративная линия">
            <a:extLst>
              <a:ext uri="{FF2B5EF4-FFF2-40B4-BE49-F238E27FC236}">
                <a16:creationId xmlns:a16="http://schemas.microsoft.com/office/drawing/2014/main" id="{FC75038A-1A57-4810-A200-F441A155BA62}"/>
              </a:ext>
            </a:extLst>
          </xdr:cNvPr>
          <xdr:cNvCxnSpPr>
            <a:cxnSpLocks/>
          </xdr:cNvCxnSpPr>
        </xdr:nvCxnSpPr>
        <xdr:spPr>
          <a:xfrm>
            <a:off x="233234" y="6079743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Прямая соединительная линия 96" descr="Декоративная линия">
            <a:extLst>
              <a:ext uri="{FF2B5EF4-FFF2-40B4-BE49-F238E27FC236}">
                <a16:creationId xmlns:a16="http://schemas.microsoft.com/office/drawing/2014/main" id="{EAFBA7B8-06DC-4A15-A998-B588F058D108}"/>
              </a:ext>
            </a:extLst>
          </xdr:cNvPr>
          <xdr:cNvCxnSpPr>
            <a:cxnSpLocks/>
          </xdr:cNvCxnSpPr>
        </xdr:nvCxnSpPr>
        <xdr:spPr>
          <a:xfrm>
            <a:off x="233234" y="8207607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562406</xdr:colOff>
      <xdr:row>68</xdr:row>
      <xdr:rowOff>92766</xdr:rowOff>
    </xdr:from>
    <xdr:to>
      <xdr:col>1</xdr:col>
      <xdr:colOff>2581275</xdr:colOff>
      <xdr:row>70</xdr:row>
      <xdr:rowOff>70845</xdr:rowOff>
    </xdr:to>
    <xdr:grpSp>
      <xdr:nvGrpSpPr>
        <xdr:cNvPr id="17" name="Группа 16">
          <a:extLst>
            <a:ext uri="{FF2B5EF4-FFF2-40B4-BE49-F238E27FC236}">
              <a16:creationId xmlns:a16="http://schemas.microsoft.com/office/drawing/2014/main" id="{AA259A6F-5BA1-4BA7-97B7-539D915D1A18}"/>
            </a:ext>
          </a:extLst>
        </xdr:cNvPr>
        <xdr:cNvGrpSpPr/>
      </xdr:nvGrpSpPr>
      <xdr:grpSpPr>
        <a:xfrm>
          <a:off x="562406" y="13618266"/>
          <a:ext cx="2866594" cy="359079"/>
          <a:chOff x="562406" y="12494316"/>
          <a:chExt cx="2866594" cy="359079"/>
        </a:xfrm>
      </xdr:grpSpPr>
      <xdr:sp macro="" textlink="">
        <xdr:nvSpPr>
          <xdr:cNvPr id="98" name="Шаг" descr="Гиперссылка на веб-страницу о функции ВПР&#10;&#10;">
            <a:hlinkClick xmlns:r="http://schemas.openxmlformats.org/officeDocument/2006/relationships" r:id="rId2" tooltip="Подробные сведения о функции ВПР в Интернете"/>
            <a:extLst>
              <a:ext uri="{FF2B5EF4-FFF2-40B4-BE49-F238E27FC236}">
                <a16:creationId xmlns:a16="http://schemas.microsoft.com/office/drawing/2014/main" id="{A860ADA4-DD2D-4966-AB6B-7FB24178B7B9}"/>
              </a:ext>
            </a:extLst>
          </xdr:cNvPr>
          <xdr:cNvSpPr txBox="1"/>
        </xdr:nvSpPr>
        <xdr:spPr>
          <a:xfrm>
            <a:off x="1027591" y="12568676"/>
            <a:ext cx="2401409" cy="2539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ВПР</a:t>
            </a:r>
          </a:p>
        </xdr:txBody>
      </xdr:sp>
      <xdr:pic>
        <xdr:nvPicPr>
          <xdr:cNvPr id="99" name="Графический объект 22" descr="Стрелка">
            <a:hlinkClick xmlns:r="http://schemas.openxmlformats.org/officeDocument/2006/relationships" r:id="rId2" tooltip="Дополнительные сведения в Интернете"/>
            <a:extLst>
              <a:ext uri="{FF2B5EF4-FFF2-40B4-BE49-F238E27FC236}">
                <a16:creationId xmlns:a16="http://schemas.microsoft.com/office/drawing/2014/main" id="{4016160B-6D5A-4000-A6B4-076F983529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2406" y="12494316"/>
            <a:ext cx="492262" cy="3590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562406</xdr:colOff>
      <xdr:row>70</xdr:row>
      <xdr:rowOff>98387</xdr:rowOff>
    </xdr:from>
    <xdr:to>
      <xdr:col>1</xdr:col>
      <xdr:colOff>2990850</xdr:colOff>
      <xdr:row>72</xdr:row>
      <xdr:rowOff>81776</xdr:rowOff>
    </xdr:to>
    <xdr:grpSp>
      <xdr:nvGrpSpPr>
        <xdr:cNvPr id="16" name="Группа 15">
          <a:extLst>
            <a:ext uri="{FF2B5EF4-FFF2-40B4-BE49-F238E27FC236}">
              <a16:creationId xmlns:a16="http://schemas.microsoft.com/office/drawing/2014/main" id="{79235089-8072-43CC-BE8C-67B41C2F383F}"/>
            </a:ext>
          </a:extLst>
        </xdr:cNvPr>
        <xdr:cNvGrpSpPr/>
      </xdr:nvGrpSpPr>
      <xdr:grpSpPr>
        <a:xfrm>
          <a:off x="562406" y="14004887"/>
          <a:ext cx="3276169" cy="364389"/>
          <a:chOff x="562406" y="12880937"/>
          <a:chExt cx="3276169" cy="364389"/>
        </a:xfrm>
      </xdr:grpSpPr>
      <xdr:sp macro="" textlink="">
        <xdr:nvSpPr>
          <xdr:cNvPr id="100" name="Шаг" descr="Гиперссылка на веб-страницу о функциях ИНДЕКС и ПОИСКПОЗ&#10;">
            <a:hlinkClick xmlns:r="http://schemas.openxmlformats.org/officeDocument/2006/relationships" r:id="rId5" tooltip="Подробные сведения о функциях ИНДЕКС и ПОИСКПОЗ в Интернете"/>
            <a:extLst>
              <a:ext uri="{FF2B5EF4-FFF2-40B4-BE49-F238E27FC236}">
                <a16:creationId xmlns:a16="http://schemas.microsoft.com/office/drawing/2014/main" id="{BEC8DAF3-59CC-4665-B2F7-C11D93097B1A}"/>
              </a:ext>
            </a:extLst>
          </xdr:cNvPr>
          <xdr:cNvSpPr txBox="1"/>
        </xdr:nvSpPr>
        <xdr:spPr>
          <a:xfrm>
            <a:off x="1027591" y="12946558"/>
            <a:ext cx="2810984" cy="2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функциях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ИНДЕКС и ПОИСКПОЗ</a:t>
            </a:r>
          </a:p>
        </xdr:txBody>
      </xdr:sp>
      <xdr:pic>
        <xdr:nvPicPr>
          <xdr:cNvPr id="101" name="Графический объект 22" descr="Стрелка">
            <a:hlinkClick xmlns:r="http://schemas.openxmlformats.org/officeDocument/2006/relationships" r:id="rId5" tooltip="Дополнительные сведения в Интернете"/>
            <a:extLst>
              <a:ext uri="{FF2B5EF4-FFF2-40B4-BE49-F238E27FC236}">
                <a16:creationId xmlns:a16="http://schemas.microsoft.com/office/drawing/2014/main" id="{195ADA35-3365-4E6D-A3B7-5616E6E36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2406" y="12880937"/>
            <a:ext cx="492262" cy="36438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562406</xdr:colOff>
      <xdr:row>76</xdr:row>
      <xdr:rowOff>146325</xdr:rowOff>
    </xdr:from>
    <xdr:to>
      <xdr:col>1</xdr:col>
      <xdr:colOff>3076575</xdr:colOff>
      <xdr:row>78</xdr:row>
      <xdr:rowOff>129714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5C999AAF-BC52-4D03-84CC-9A10F67B8111}"/>
            </a:ext>
          </a:extLst>
        </xdr:cNvPr>
        <xdr:cNvGrpSpPr/>
      </xdr:nvGrpSpPr>
      <xdr:grpSpPr>
        <a:xfrm>
          <a:off x="562406" y="15195825"/>
          <a:ext cx="3361894" cy="364389"/>
          <a:chOff x="562406" y="14071875"/>
          <a:chExt cx="3361894" cy="364389"/>
        </a:xfrm>
      </xdr:grpSpPr>
      <xdr:sp macro="" textlink="">
        <xdr:nvSpPr>
          <xdr:cNvPr id="102" name="Шаг" descr="Гиперссылка на бесплатные учебные веб-курсы по Excel&#10;">
            <a:hlinkClick xmlns:r="http://schemas.openxmlformats.org/officeDocument/2006/relationships" r:id="rId6" tooltip="Сведения о бесплатных учебных веб-курсах по Excel"/>
            <a:extLst>
              <a:ext uri="{FF2B5EF4-FFF2-40B4-BE49-F238E27FC236}">
                <a16:creationId xmlns:a16="http://schemas.microsoft.com/office/drawing/2014/main" id="{4781BFBE-B5EC-40E0-B408-A2571FFF08DE}"/>
              </a:ext>
            </a:extLst>
          </xdr:cNvPr>
          <xdr:cNvSpPr txBox="1"/>
        </xdr:nvSpPr>
        <xdr:spPr>
          <a:xfrm>
            <a:off x="1040199" y="14151554"/>
            <a:ext cx="2884101" cy="248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Бесплатные учебные веб-курсы по Excel</a:t>
            </a:r>
          </a:p>
        </xdr:txBody>
      </xdr:sp>
      <xdr:pic>
        <xdr:nvPicPr>
          <xdr:cNvPr id="103" name="Графический объект 22" descr="Стрелка">
            <a:hlinkClick xmlns:r="http://schemas.openxmlformats.org/officeDocument/2006/relationships" r:id="rId6" tooltip="Дополнительные сведения в Интернете"/>
            <a:extLst>
              <a:ext uri="{FF2B5EF4-FFF2-40B4-BE49-F238E27FC236}">
                <a16:creationId xmlns:a16="http://schemas.microsoft.com/office/drawing/2014/main" id="{AF92F961-1FAE-4795-A776-7AB9088DA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2406" y="14071875"/>
            <a:ext cx="492262" cy="36438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562406</xdr:colOff>
      <xdr:row>72</xdr:row>
      <xdr:rowOff>109318</xdr:rowOff>
    </xdr:from>
    <xdr:to>
      <xdr:col>1</xdr:col>
      <xdr:colOff>2609850</xdr:colOff>
      <xdr:row>74</xdr:row>
      <xdr:rowOff>92707</xdr:rowOff>
    </xdr:to>
    <xdr:grpSp>
      <xdr:nvGrpSpPr>
        <xdr:cNvPr id="8" name="Группа 7">
          <a:extLst>
            <a:ext uri="{FF2B5EF4-FFF2-40B4-BE49-F238E27FC236}">
              <a16:creationId xmlns:a16="http://schemas.microsoft.com/office/drawing/2014/main" id="{F2122903-3464-4677-84BC-66087719FF0D}"/>
            </a:ext>
          </a:extLst>
        </xdr:cNvPr>
        <xdr:cNvGrpSpPr/>
      </xdr:nvGrpSpPr>
      <xdr:grpSpPr>
        <a:xfrm>
          <a:off x="562406" y="14396818"/>
          <a:ext cx="2895169" cy="364389"/>
          <a:chOff x="562406" y="13272868"/>
          <a:chExt cx="2895169" cy="364389"/>
        </a:xfrm>
      </xdr:grpSpPr>
      <xdr:sp macro="" textlink="">
        <xdr:nvSpPr>
          <xdr:cNvPr id="104" name="Шаг" descr="Гиперссылка на веб-страницу о функции ЕСЛИОШИБКА&#10;">
            <a:hlinkClick xmlns:r="http://schemas.openxmlformats.org/officeDocument/2006/relationships" r:id="rId7" tooltip="Подробные сведения о функции ЕСЛИОШИБКА в Интернете"/>
            <a:extLst>
              <a:ext uri="{FF2B5EF4-FFF2-40B4-BE49-F238E27FC236}">
                <a16:creationId xmlns:a16="http://schemas.microsoft.com/office/drawing/2014/main" id="{FD7D1475-3C3C-4885-B019-D94FC37509D0}"/>
              </a:ext>
            </a:extLst>
          </xdr:cNvPr>
          <xdr:cNvSpPr txBox="1"/>
        </xdr:nvSpPr>
        <xdr:spPr>
          <a:xfrm>
            <a:off x="1027591" y="13318033"/>
            <a:ext cx="2429984" cy="2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 функции </a:t>
            </a:r>
            <a:r>
              <a:rPr lang="ru" sz="1100" b="1" u="sng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ЕСЛИОШИБКА</a:t>
            </a:r>
          </a:p>
        </xdr:txBody>
      </xdr:sp>
      <xdr:pic>
        <xdr:nvPicPr>
          <xdr:cNvPr id="105" name="Графический объект 22" descr="Стрелка">
            <a:hlinkClick xmlns:r="http://schemas.openxmlformats.org/officeDocument/2006/relationships" r:id="rId7" tooltip="Дополнительные сведения в Интернете"/>
            <a:extLst>
              <a:ext uri="{FF2B5EF4-FFF2-40B4-BE49-F238E27FC236}">
                <a16:creationId xmlns:a16="http://schemas.microsoft.com/office/drawing/2014/main" id="{E3D1E6D4-DEEE-4984-BF2B-F66CBB366B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2406" y="13272868"/>
            <a:ext cx="492262" cy="36438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562406</xdr:colOff>
      <xdr:row>74</xdr:row>
      <xdr:rowOff>101199</xdr:rowOff>
    </xdr:from>
    <xdr:to>
      <xdr:col>1</xdr:col>
      <xdr:colOff>3971925</xdr:colOff>
      <xdr:row>76</xdr:row>
      <xdr:rowOff>84588</xdr:rowOff>
    </xdr:to>
    <xdr:grpSp>
      <xdr:nvGrpSpPr>
        <xdr:cNvPr id="7" name="Группа 6">
          <a:extLst>
            <a:ext uri="{FF2B5EF4-FFF2-40B4-BE49-F238E27FC236}">
              <a16:creationId xmlns:a16="http://schemas.microsoft.com/office/drawing/2014/main" id="{56B2B91D-B542-499E-8788-299E4FFAC823}"/>
            </a:ext>
          </a:extLst>
        </xdr:cNvPr>
        <xdr:cNvGrpSpPr/>
      </xdr:nvGrpSpPr>
      <xdr:grpSpPr>
        <a:xfrm>
          <a:off x="562406" y="14769699"/>
          <a:ext cx="4257244" cy="364389"/>
          <a:chOff x="562406" y="13664799"/>
          <a:chExt cx="4257244" cy="364389"/>
        </a:xfrm>
      </xdr:grpSpPr>
      <xdr:sp macro="" textlink="">
        <xdr:nvSpPr>
          <xdr:cNvPr id="106" name="Шаг" descr="Использование сводных таблиц для анализа данных&#10;">
            <a:hlinkClick xmlns:r="http://schemas.openxmlformats.org/officeDocument/2006/relationships" r:id="rId8" tooltip="Сведения в Интернете о создании сводной таблицы для анализа данных листа"/>
            <a:extLst>
              <a:ext uri="{FF2B5EF4-FFF2-40B4-BE49-F238E27FC236}">
                <a16:creationId xmlns:a16="http://schemas.microsoft.com/office/drawing/2014/main" id="{2E0B811D-CA68-487C-A6BB-4DE6198A877D}"/>
              </a:ext>
            </a:extLst>
          </xdr:cNvPr>
          <xdr:cNvSpPr txBox="1"/>
        </xdr:nvSpPr>
        <xdr:spPr>
          <a:xfrm>
            <a:off x="1027590" y="13727608"/>
            <a:ext cx="3792060" cy="2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Использование </a:t>
            </a:r>
            <a:r>
              <a:rPr lang="ru" sz="1100" b="1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сводных таблиц</a:t>
            </a: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для анализа</a:t>
            </a:r>
            <a:r>
              <a:rPr lang="ru" sz="1100" u="sng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данных</a:t>
            </a:r>
            <a:endParaRPr lang="en-US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07" name="Графический объект 22" descr="Стрелка">
            <a:hlinkClick xmlns:r="http://schemas.openxmlformats.org/officeDocument/2006/relationships" r:id="rId8" tooltip="Дополнительные сведения в Интернете"/>
            <a:extLst>
              <a:ext uri="{FF2B5EF4-FFF2-40B4-BE49-F238E27FC236}">
                <a16:creationId xmlns:a16="http://schemas.microsoft.com/office/drawing/2014/main" id="{12216F95-C4E1-460F-A45F-21F3157AFF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2406" y="13664799"/>
            <a:ext cx="492262" cy="36438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5470014</xdr:colOff>
      <xdr:row>22</xdr:row>
      <xdr:rowOff>40290</xdr:rowOff>
    </xdr:from>
    <xdr:to>
      <xdr:col>6</xdr:col>
      <xdr:colOff>774188</xdr:colOff>
      <xdr:row>28</xdr:row>
      <xdr:rowOff>122966</xdr:rowOff>
    </xdr:to>
    <xdr:grpSp>
      <xdr:nvGrpSpPr>
        <xdr:cNvPr id="108" name="Группа 107">
          <a:extLst>
            <a:ext uri="{FF2B5EF4-FFF2-40B4-BE49-F238E27FC236}">
              <a16:creationId xmlns:a16="http://schemas.microsoft.com/office/drawing/2014/main" id="{03EFBC7C-34AE-450B-A955-411C63A44A84}"/>
            </a:ext>
          </a:extLst>
        </xdr:cNvPr>
        <xdr:cNvGrpSpPr/>
      </xdr:nvGrpSpPr>
      <xdr:grpSpPr>
        <a:xfrm>
          <a:off x="6317739" y="4802790"/>
          <a:ext cx="3638549" cy="1225676"/>
          <a:chOff x="6315744" y="2116740"/>
          <a:chExt cx="3297913" cy="1225676"/>
        </a:xfrm>
      </xdr:grpSpPr>
      <xdr:sp macro="" textlink="">
        <xdr:nvSpPr>
          <xdr:cNvPr id="109" name="Шаг" descr="ЭКСПЕРИМЕНТ&#10;Попробуйте выбрать другие элементы из раскрывающихся списков. Значения в ячейках результатов мгновенно обновятся.&#10;">
            <a:extLst>
              <a:ext uri="{FF2B5EF4-FFF2-40B4-BE49-F238E27FC236}">
                <a16:creationId xmlns:a16="http://schemas.microsoft.com/office/drawing/2014/main" id="{F058B804-367A-4D12-BA59-0970AFE733A6}"/>
              </a:ext>
            </a:extLst>
          </xdr:cNvPr>
          <xdr:cNvSpPr txBox="1"/>
        </xdr:nvSpPr>
        <xdr:spPr>
          <a:xfrm>
            <a:off x="6570375" y="2394314"/>
            <a:ext cx="3043282" cy="9481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ЭКСПЕРИМЕНТ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ru" sz="1100" kern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Попробуйте выбрать</a:t>
            </a:r>
            <a:r>
              <a:rPr lang="ru" sz="1100" kern="0" baseline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 другие элементы из раскрывающихся списков. Значения в ячейках результатов мгновенно обновятся.</a:t>
            </a:r>
            <a:endParaRPr lang="en-US" sz="1100" kern="0">
              <a:solidFill>
                <a:schemeClr val="bg2">
                  <a:lumMod val="25000"/>
                </a:schemeClr>
              </a:solidFill>
              <a:latin typeface="+mn-lt"/>
              <a:ea typeface="Segoe UI" pitchFamily="34" charset="0"/>
              <a:cs typeface="Segoe UI Light" panose="020B0502040204020203" pitchFamily="34" charset="0"/>
            </a:endParaRPr>
          </a:p>
        </xdr:txBody>
      </xdr:sp>
      <xdr:grpSp>
        <xdr:nvGrpSpPr>
          <xdr:cNvPr id="110" name="Группа 109">
            <a:extLst>
              <a:ext uri="{FF2B5EF4-FFF2-40B4-BE49-F238E27FC236}">
                <a16:creationId xmlns:a16="http://schemas.microsoft.com/office/drawing/2014/main" id="{9133DD34-EC9C-4E5E-9701-31CBF2341050}"/>
              </a:ext>
            </a:extLst>
          </xdr:cNvPr>
          <xdr:cNvGrpSpPr/>
        </xdr:nvGrpSpPr>
        <xdr:grpSpPr>
          <a:xfrm>
            <a:off x="6315744" y="2116740"/>
            <a:ext cx="873764" cy="377476"/>
            <a:chOff x="6388583" y="2189579"/>
            <a:chExt cx="873764" cy="377476"/>
          </a:xfrm>
        </xdr:grpSpPr>
        <xdr:sp macro="" textlink="">
          <xdr:nvSpPr>
            <xdr:cNvPr id="112" name="Полилиния: фигура 111" descr="Строка с квадратной скобкой">
              <a:extLst>
                <a:ext uri="{FF2B5EF4-FFF2-40B4-BE49-F238E27FC236}">
                  <a16:creationId xmlns:a16="http://schemas.microsoft.com/office/drawing/2014/main" id="{B89FDF95-E971-450E-B68A-844FC0FEB63A}"/>
                </a:ext>
              </a:extLst>
            </xdr:cNvPr>
            <xdr:cNvSpPr/>
          </xdr:nvSpPr>
          <xdr:spPr>
            <a:xfrm rot="5400000">
              <a:off x="6989563" y="2111841"/>
              <a:ext cx="165098" cy="380470"/>
            </a:xfrm>
            <a:custGeom>
              <a:avLst/>
              <a:gdLst>
                <a:gd name="connsiteX0" fmla="*/ 0 w 273326"/>
                <a:gd name="connsiteY0" fmla="*/ 193 h 217696"/>
                <a:gd name="connsiteX1" fmla="*/ 157369 w 273326"/>
                <a:gd name="connsiteY1" fmla="*/ 33323 h 217696"/>
                <a:gd name="connsiteX2" fmla="*/ 165652 w 273326"/>
                <a:gd name="connsiteY2" fmla="*/ 207258 h 217696"/>
                <a:gd name="connsiteX3" fmla="*/ 273326 w 273326"/>
                <a:gd name="connsiteY3" fmla="*/ 198976 h 217696"/>
                <a:gd name="connsiteX4" fmla="*/ 273326 w 273326"/>
                <a:gd name="connsiteY4" fmla="*/ 198976 h 217696"/>
                <a:gd name="connsiteX0" fmla="*/ 0 w 273326"/>
                <a:gd name="connsiteY0" fmla="*/ 193 h 217696"/>
                <a:gd name="connsiteX1" fmla="*/ 157369 w 273326"/>
                <a:gd name="connsiteY1" fmla="*/ 33323 h 217696"/>
                <a:gd name="connsiteX2" fmla="*/ 165652 w 273326"/>
                <a:gd name="connsiteY2" fmla="*/ 207258 h 217696"/>
                <a:gd name="connsiteX3" fmla="*/ 273326 w 273326"/>
                <a:gd name="connsiteY3" fmla="*/ 198976 h 217696"/>
                <a:gd name="connsiteX0" fmla="*/ 0 w 167704"/>
                <a:gd name="connsiteY0" fmla="*/ 193 h 207258"/>
                <a:gd name="connsiteX1" fmla="*/ 157369 w 167704"/>
                <a:gd name="connsiteY1" fmla="*/ 33323 h 207258"/>
                <a:gd name="connsiteX2" fmla="*/ 165652 w 167704"/>
                <a:gd name="connsiteY2" fmla="*/ 207258 h 20725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67704" h="207258">
                  <a:moveTo>
                    <a:pt x="0" y="193"/>
                  </a:moveTo>
                  <a:cubicBezTo>
                    <a:pt x="64880" y="-498"/>
                    <a:pt x="129760" y="-1188"/>
                    <a:pt x="157369" y="33323"/>
                  </a:cubicBezTo>
                  <a:cubicBezTo>
                    <a:pt x="184978" y="67834"/>
                    <a:pt x="146326" y="179649"/>
                    <a:pt x="165652" y="207258"/>
                  </a:cubicBez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13" name="Полилиния: фигура 112" descr="Строка с квадратной скобкой">
              <a:extLst>
                <a:ext uri="{FF2B5EF4-FFF2-40B4-BE49-F238E27FC236}">
                  <a16:creationId xmlns:a16="http://schemas.microsoft.com/office/drawing/2014/main" id="{6D94CD03-8DC7-4C12-B3AD-E8B0E09E2EF4}"/>
                </a:ext>
              </a:extLst>
            </xdr:cNvPr>
            <xdr:cNvSpPr/>
          </xdr:nvSpPr>
          <xdr:spPr>
            <a:xfrm rot="16200000" flipH="1">
              <a:off x="6495409" y="2082753"/>
              <a:ext cx="167085" cy="380737"/>
            </a:xfrm>
            <a:custGeom>
              <a:avLst/>
              <a:gdLst>
                <a:gd name="connsiteX0" fmla="*/ 0 w 273326"/>
                <a:gd name="connsiteY0" fmla="*/ 193 h 217696"/>
                <a:gd name="connsiteX1" fmla="*/ 157369 w 273326"/>
                <a:gd name="connsiteY1" fmla="*/ 33323 h 217696"/>
                <a:gd name="connsiteX2" fmla="*/ 165652 w 273326"/>
                <a:gd name="connsiteY2" fmla="*/ 207258 h 217696"/>
                <a:gd name="connsiteX3" fmla="*/ 273326 w 273326"/>
                <a:gd name="connsiteY3" fmla="*/ 198976 h 217696"/>
                <a:gd name="connsiteX4" fmla="*/ 273326 w 273326"/>
                <a:gd name="connsiteY4" fmla="*/ 198976 h 217696"/>
                <a:gd name="connsiteX0" fmla="*/ 0 w 273326"/>
                <a:gd name="connsiteY0" fmla="*/ 193 h 217696"/>
                <a:gd name="connsiteX1" fmla="*/ 157369 w 273326"/>
                <a:gd name="connsiteY1" fmla="*/ 33323 h 217696"/>
                <a:gd name="connsiteX2" fmla="*/ 165652 w 273326"/>
                <a:gd name="connsiteY2" fmla="*/ 207258 h 217696"/>
                <a:gd name="connsiteX3" fmla="*/ 273326 w 273326"/>
                <a:gd name="connsiteY3" fmla="*/ 198976 h 217696"/>
                <a:gd name="connsiteX0" fmla="*/ 0 w 167704"/>
                <a:gd name="connsiteY0" fmla="*/ 193 h 207258"/>
                <a:gd name="connsiteX1" fmla="*/ 157369 w 167704"/>
                <a:gd name="connsiteY1" fmla="*/ 33323 h 207258"/>
                <a:gd name="connsiteX2" fmla="*/ 165652 w 167704"/>
                <a:gd name="connsiteY2" fmla="*/ 207258 h 207258"/>
                <a:gd name="connsiteX0" fmla="*/ 0 w 169722"/>
                <a:gd name="connsiteY0" fmla="*/ 334 h 219894"/>
                <a:gd name="connsiteX1" fmla="*/ 157369 w 169722"/>
                <a:gd name="connsiteY1" fmla="*/ 33464 h 219894"/>
                <a:gd name="connsiteX2" fmla="*/ 169722 w 169722"/>
                <a:gd name="connsiteY2" fmla="*/ 219894 h 2198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69722" h="219894">
                  <a:moveTo>
                    <a:pt x="0" y="334"/>
                  </a:moveTo>
                  <a:cubicBezTo>
                    <a:pt x="64880" y="-357"/>
                    <a:pt x="129082" y="-3129"/>
                    <a:pt x="157369" y="33464"/>
                  </a:cubicBezTo>
                  <a:cubicBezTo>
                    <a:pt x="185656" y="70057"/>
                    <a:pt x="150396" y="192285"/>
                    <a:pt x="169722" y="219894"/>
                  </a:cubicBez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14" name="Дуга 113">
              <a:extLst>
                <a:ext uri="{FF2B5EF4-FFF2-40B4-BE49-F238E27FC236}">
                  <a16:creationId xmlns:a16="http://schemas.microsoft.com/office/drawing/2014/main" id="{FA556032-2890-4698-8BCA-5F6841D85837}"/>
                </a:ext>
              </a:extLst>
            </xdr:cNvPr>
            <xdr:cNvSpPr/>
          </xdr:nvSpPr>
          <xdr:spPr>
            <a:xfrm>
              <a:off x="6686535" y="2359878"/>
              <a:ext cx="150831" cy="207177"/>
            </a:xfrm>
            <a:prstGeom prst="arc">
              <a:avLst>
                <a:gd name="adj1" fmla="val 15985420"/>
                <a:gd name="adj2" fmla="val 0"/>
              </a:avLst>
            </a:pr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15" name="Дуга 114">
              <a:extLst>
                <a:ext uri="{FF2B5EF4-FFF2-40B4-BE49-F238E27FC236}">
                  <a16:creationId xmlns:a16="http://schemas.microsoft.com/office/drawing/2014/main" id="{9D24D9D4-ABC6-4659-89BD-7B032B0C264F}"/>
                </a:ext>
              </a:extLst>
            </xdr:cNvPr>
            <xdr:cNvSpPr/>
          </xdr:nvSpPr>
          <xdr:spPr>
            <a:xfrm flipH="1">
              <a:off x="6844223" y="2370187"/>
              <a:ext cx="137120" cy="182150"/>
            </a:xfrm>
            <a:prstGeom prst="arc">
              <a:avLst>
                <a:gd name="adj1" fmla="val 17341536"/>
                <a:gd name="adj2" fmla="val 0"/>
              </a:avLst>
            </a:pr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pic>
        <xdr:nvPicPr>
          <xdr:cNvPr id="111" name="Графический объект 96" descr="Колба">
            <a:extLst>
              <a:ext uri="{FF2B5EF4-FFF2-40B4-BE49-F238E27FC236}">
                <a16:creationId xmlns:a16="http://schemas.microsoft.com/office/drawing/2014/main" id="{567F3C53-03B1-43F2-BB49-70742F30BE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370551" y="2499089"/>
            <a:ext cx="331088" cy="3683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666750</xdr:colOff>
      <xdr:row>28</xdr:row>
      <xdr:rowOff>185713</xdr:rowOff>
    </xdr:from>
    <xdr:to>
      <xdr:col>1</xdr:col>
      <xdr:colOff>2560307</xdr:colOff>
      <xdr:row>31</xdr:row>
      <xdr:rowOff>149900</xdr:rowOff>
    </xdr:to>
    <xdr:sp macro="" textlink="">
      <xdr:nvSpPr>
        <xdr:cNvPr id="116" name="кнопка_Подробнее" descr="Подробнее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EED573E-E4AE-4562-BCEC-B2731DD6AA78}"/>
            </a:ext>
          </a:extLst>
        </xdr:cNvPr>
        <xdr:cNvSpPr/>
      </xdr:nvSpPr>
      <xdr:spPr>
        <a:xfrm>
          <a:off x="666750" y="6091213"/>
          <a:ext cx="2741282" cy="535687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Подробнее</a:t>
          </a:r>
        </a:p>
      </xdr:txBody>
    </xdr:sp>
    <xdr:clientData/>
  </xdr:twoCellAnchor>
  <xdr:twoCellAnchor>
    <xdr:from>
      <xdr:col>0</xdr:col>
      <xdr:colOff>333375</xdr:colOff>
      <xdr:row>33</xdr:row>
      <xdr:rowOff>9496</xdr:rowOff>
    </xdr:from>
    <xdr:to>
      <xdr:col>1</xdr:col>
      <xdr:colOff>5219700</xdr:colOff>
      <xdr:row>64</xdr:row>
      <xdr:rowOff>169996</xdr:rowOff>
    </xdr:to>
    <xdr:grpSp>
      <xdr:nvGrpSpPr>
        <xdr:cNvPr id="117" name="Группа 116">
          <a:extLst>
            <a:ext uri="{FF2B5EF4-FFF2-40B4-BE49-F238E27FC236}">
              <a16:creationId xmlns:a16="http://schemas.microsoft.com/office/drawing/2014/main" id="{13E6C982-6CD3-4F56-8160-7A99956655B4}"/>
            </a:ext>
          </a:extLst>
        </xdr:cNvPr>
        <xdr:cNvGrpSpPr/>
      </xdr:nvGrpSpPr>
      <xdr:grpSpPr>
        <a:xfrm>
          <a:off x="333375" y="6867496"/>
          <a:ext cx="5734050" cy="6066000"/>
          <a:chOff x="381000" y="6619846"/>
          <a:chExt cx="5734050" cy="6066000"/>
        </a:xfrm>
      </xdr:grpSpPr>
      <xdr:sp macro="" textlink="">
        <xdr:nvSpPr>
          <xdr:cNvPr id="118" name="текст_ФонКурса" descr="Фон">
            <a:extLst>
              <a:ext uri="{FF2B5EF4-FFF2-40B4-BE49-F238E27FC236}">
                <a16:creationId xmlns:a16="http://schemas.microsoft.com/office/drawing/2014/main" id="{D3E3BF3F-62BA-42BD-AAAA-C2798A711BDD}"/>
              </a:ext>
            </a:extLst>
          </xdr:cNvPr>
          <xdr:cNvSpPr/>
        </xdr:nvSpPr>
        <xdr:spPr>
          <a:xfrm>
            <a:off x="381000" y="6619846"/>
            <a:ext cx="5734050" cy="6066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220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119" name="текст_ЗаголовокКурса" descr="ВПР и #Н/Д">
            <a:extLst>
              <a:ext uri="{FF2B5EF4-FFF2-40B4-BE49-F238E27FC236}">
                <a16:creationId xmlns:a16="http://schemas.microsoft.com/office/drawing/2014/main" id="{386B07F5-B225-4CBC-99F5-455BC4C0E041}"/>
              </a:ext>
            </a:extLst>
          </xdr:cNvPr>
          <xdr:cNvSpPr txBox="1"/>
        </xdr:nvSpPr>
        <xdr:spPr>
          <a:xfrm>
            <a:off x="622303" y="6715096"/>
            <a:ext cx="5251444" cy="578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ВПР и #Н/Д</a:t>
            </a:r>
          </a:p>
        </xdr:txBody>
      </xdr:sp>
      <xdr:cxnSp macro="">
        <xdr:nvCxnSpPr>
          <xdr:cNvPr id="120" name="текст_Курсстрока1" descr="Декоративная линия">
            <a:extLst>
              <a:ext uri="{FF2B5EF4-FFF2-40B4-BE49-F238E27FC236}">
                <a16:creationId xmlns:a16="http://schemas.microsoft.com/office/drawing/2014/main" id="{630863CB-3AD3-41AC-8A46-12E685348E7F}"/>
              </a:ext>
            </a:extLst>
          </xdr:cNvPr>
          <xdr:cNvCxnSpPr>
            <a:cxnSpLocks/>
          </xdr:cNvCxnSpPr>
        </xdr:nvCxnSpPr>
        <xdr:spPr>
          <a:xfrm>
            <a:off x="623901" y="7286598"/>
            <a:ext cx="52482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текст_Курсстрока2" descr="Декоративная линия">
            <a:extLst>
              <a:ext uri="{FF2B5EF4-FFF2-40B4-BE49-F238E27FC236}">
                <a16:creationId xmlns:a16="http://schemas.microsoft.com/office/drawing/2014/main" id="{9714E556-7850-4148-BEC1-BE99A53AD145}"/>
              </a:ext>
            </a:extLst>
          </xdr:cNvPr>
          <xdr:cNvCxnSpPr>
            <a:cxnSpLocks/>
          </xdr:cNvCxnSpPr>
        </xdr:nvCxnSpPr>
        <xdr:spPr>
          <a:xfrm>
            <a:off x="623901" y="12022638"/>
            <a:ext cx="52482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" name="текст_КурсВведение" descr="Рано или поздно вы столкнетесь с тем, что функция ВПР не сможет найти требуемое значение и вернет ошибку #Н/Д. Это может произойти потому, что искомое значение не существует или ячейка, указывающая на него, пуста.&#10;&#10;">
            <a:extLst>
              <a:ext uri="{FF2B5EF4-FFF2-40B4-BE49-F238E27FC236}">
                <a16:creationId xmlns:a16="http://schemas.microsoft.com/office/drawing/2014/main" id="{14D15DCB-93AB-4F22-9D6D-FBFB2C3479BE}"/>
              </a:ext>
            </a:extLst>
          </xdr:cNvPr>
          <xdr:cNvSpPr txBox="1"/>
        </xdr:nvSpPr>
        <xdr:spPr>
          <a:xfrm>
            <a:off x="619288" y="7320013"/>
            <a:ext cx="5251444" cy="6905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Рано или поздно вы столкнетесь с тем, что функция ВПР не сможет найти требуемое значение и вернет ошибку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#Н/Д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 Это может произойти потому, что искомое значение не существует или ячейка, указывающая на него, пуста.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grpSp>
        <xdr:nvGrpSpPr>
          <xdr:cNvPr id="123" name="группа_Шаг">
            <a:extLst>
              <a:ext uri="{FF2B5EF4-FFF2-40B4-BE49-F238E27FC236}">
                <a16:creationId xmlns:a16="http://schemas.microsoft.com/office/drawing/2014/main" id="{5965A0D4-2BC5-48D7-B26B-96EE64B5243D}"/>
              </a:ext>
            </a:extLst>
          </xdr:cNvPr>
          <xdr:cNvGrpSpPr/>
        </xdr:nvGrpSpPr>
        <xdr:grpSpPr>
          <a:xfrm>
            <a:off x="619125" y="8020022"/>
            <a:ext cx="5353050" cy="2152678"/>
            <a:chOff x="562285" y="7734300"/>
            <a:chExt cx="5318320" cy="2152678"/>
          </a:xfrm>
        </xdr:grpSpPr>
        <xdr:sp macro="" textlink="">
          <xdr:nvSpPr>
            <xdr:cNvPr id="127" name="текст_Шаг" descr="Если вы знаете, что искомое значение существует, и хотите скрывать сообщение об ошибке, если ячейка, ссылающаяся на него, пуста, можно использовать оператор ЕСЛИ. При этом формула в ячейке D43 будет выглядеть следующим образом:&#10;&#10;=ЕСЛИ(C43=&quot;&quot;,&quot;&quot;,ВПР(C43;C37:D41;2;ЛОЖЬ))&#10;&#10;Эта формула означает, что если в ячейке C43 ничего нет (&quot;&quot;), возвращается пустое значение, а в противном случае возвращаются результаты функции ВПР. Обратите внимание на вторую круглую скобку в конце формулы. Она закрывает оператор ЕСЛИ.&#10;&#10;">
              <a:extLst>
                <a:ext uri="{FF2B5EF4-FFF2-40B4-BE49-F238E27FC236}">
                  <a16:creationId xmlns:a16="http://schemas.microsoft.com/office/drawing/2014/main" id="{EEACBD37-1990-4370-9F66-49CF679806B6}"/>
                </a:ext>
              </a:extLst>
            </xdr:cNvPr>
            <xdr:cNvSpPr txBox="1"/>
          </xdr:nvSpPr>
          <xdr:spPr>
            <a:xfrm>
              <a:off x="979442" y="7776258"/>
              <a:ext cx="4901163" cy="2110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Если вы знаете, что искомое значение существует, и хотите скрывать сообщение об ошибке, если ячейка, ссылающаяся на него, пуста, можно использовать оператор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ЕСЛИ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При этом формула в ячейке D43 будет выглядеть следующим образом: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=ЕСЛИ(C43=""</a:t>
              </a:r>
              <a:r>
                <a:rPr lang="en-US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;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""</a:t>
              </a:r>
              <a:r>
                <a:rPr lang="en-US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;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ВПР(C43;C37:D41;2;ЛОЖЬ))</a:t>
              </a: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Эта формула означает, что если в ячейке C43 ничего нет (""), возвращается пустое значение, а в противном случае возвращаются результаты функции ВПР. Обратите внимание на вторую круглую скобку в конце формулы. Она закрывает оператор ЕСЛИ.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128" name="фигура_Шаг" descr="1">
              <a:extLst>
                <a:ext uri="{FF2B5EF4-FFF2-40B4-BE49-F238E27FC236}">
                  <a16:creationId xmlns:a16="http://schemas.microsoft.com/office/drawing/2014/main" id="{FF268881-27CD-4E87-AFEB-AFD303754FA4}"/>
                </a:ext>
              </a:extLst>
            </xdr:cNvPr>
            <xdr:cNvSpPr/>
          </xdr:nvSpPr>
          <xdr:spPr>
            <a:xfrm>
              <a:off x="562285" y="7734300"/>
              <a:ext cx="37219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1</a:t>
              </a:r>
            </a:p>
          </xdr:txBody>
        </xdr:sp>
      </xdr:grpSp>
      <xdr:grpSp>
        <xdr:nvGrpSpPr>
          <xdr:cNvPr id="124" name="Группа 123">
            <a:extLst>
              <a:ext uri="{FF2B5EF4-FFF2-40B4-BE49-F238E27FC236}">
                <a16:creationId xmlns:a16="http://schemas.microsoft.com/office/drawing/2014/main" id="{E6606029-FD51-46CF-AFBE-ED7D2B796703}"/>
              </a:ext>
            </a:extLst>
          </xdr:cNvPr>
          <xdr:cNvGrpSpPr/>
        </xdr:nvGrpSpPr>
        <xdr:grpSpPr>
          <a:xfrm>
            <a:off x="619125" y="10277447"/>
            <a:ext cx="5229624" cy="1619278"/>
            <a:chOff x="11201400" y="4048125"/>
            <a:chExt cx="5229624" cy="1619278"/>
          </a:xfrm>
        </xdr:grpSpPr>
        <xdr:sp macro="" textlink="">
          <xdr:nvSpPr>
            <xdr:cNvPr id="125" name="текст_Шаг" descr="Если вы не уверены в том, что искомое значение существует, но не хотите, чтобы выводилась ошибка #Н/Д, вы можете использовать в ячейке G43 специальную функцию ЕСЛИОШИБКА: =ЕСЛИОШИБКА(ВПР(F43;F37:G41;2;ЛОЖЬ);&quot;&quot;). Если функция ВПР возвращает действительный результат, он будет выведен; в противном случае не отображается ничего (&quot;&quot;). Кроме того, вы можете вывести определенное число (0, 1, 2 и т. д.) или текстовое значение, например &quot;Неправильная формула&quot;.&#10;&#10;">
              <a:extLst>
                <a:ext uri="{FF2B5EF4-FFF2-40B4-BE49-F238E27FC236}">
                  <a16:creationId xmlns:a16="http://schemas.microsoft.com/office/drawing/2014/main" id="{250F4D35-4886-4A69-B7A9-2E3BC66C4614}"/>
                </a:ext>
              </a:extLst>
            </xdr:cNvPr>
            <xdr:cNvSpPr txBox="1"/>
          </xdr:nvSpPr>
          <xdr:spPr>
            <a:xfrm>
              <a:off x="11621281" y="4137708"/>
              <a:ext cx="4809743" cy="15296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Если вы не уверены в том, что искомое значение существует, но не хотите, чтобы выводилась ошибка #Н/Д, вы можете использовать в ячейке G43 специальную функцию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ЕСЛИОШИБКА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: </a:t>
              </a:r>
              <a:r>
                <a:rPr lang="ru" sz="1100" b="1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=ЕСЛИОШИБКА(ВПР(F43;F37:G41;2;ЛОЖЬ);"")</a:t>
              </a:r>
              <a:r>
                <a:rPr lang="ru" sz="1100" b="0" i="0" u="none" strike="noStrike" kern="0" cap="none" spc="0" normalizeH="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uLnTx/>
                  <a:uFillTx/>
                  <a:latin typeface="Segoe UI" panose="020B0502040204020203" pitchFamily="34" charset="0"/>
                  <a:ea typeface="Segoe UI" pitchFamily="34" charset="0"/>
                  <a:cs typeface="Segoe UI" panose="020B0502040204020203" pitchFamily="34" charset="0"/>
                </a:rPr>
                <a:t>. Если функция ВПР возвращает действительный результат, он будет выведен; в противном случае не отображается ничего (""). Кроме того, вы можете вывести определенное число (0, 1, 2 и т. д.) или текстовое значение, например "Неправильная формула".</a:t>
              </a: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126" name="фигура_Шаг" descr="2">
              <a:extLst>
                <a:ext uri="{FF2B5EF4-FFF2-40B4-BE49-F238E27FC236}">
                  <a16:creationId xmlns:a16="http://schemas.microsoft.com/office/drawing/2014/main" id="{5CAEF7F2-CADC-4405-A740-3677A6585269}"/>
                </a:ext>
              </a:extLst>
            </xdr:cNvPr>
            <xdr:cNvSpPr/>
          </xdr:nvSpPr>
          <xdr:spPr>
            <a:xfrm>
              <a:off x="11201400" y="4048125"/>
              <a:ext cx="374621" cy="366863"/>
            </a:xfrm>
            <a:prstGeom prst="ellipse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ru" sz="1600">
                  <a:latin typeface="Segoe UI Semibold" panose="020B0702040204020203" pitchFamily="34" charset="0"/>
                  <a:cs typeface="Segoe UI Semibold" panose="020B0702040204020203" pitchFamily="34" charset="0"/>
                </a:rPr>
                <a:t>2</a:t>
              </a:r>
            </a:p>
          </xdr:txBody>
        </xdr:sp>
      </xdr:grpSp>
    </xdr:grpSp>
    <xdr:clientData/>
  </xdr:twoCellAnchor>
  <xdr:twoCellAnchor editAs="absolute">
    <xdr:from>
      <xdr:col>0</xdr:col>
      <xdr:colOff>571500</xdr:colOff>
      <xdr:row>62</xdr:row>
      <xdr:rowOff>104747</xdr:rowOff>
    </xdr:from>
    <xdr:to>
      <xdr:col>1</xdr:col>
      <xdr:colOff>998945</xdr:colOff>
      <xdr:row>64</xdr:row>
      <xdr:rowOff>59196</xdr:rowOff>
    </xdr:to>
    <xdr:sp macro="" textlink="">
      <xdr:nvSpPr>
        <xdr:cNvPr id="129" name="Кнопка«Назад»" descr="Вернуться на предыдущий лист">
          <a:hlinkClick xmlns:r="http://schemas.openxmlformats.org/officeDocument/2006/relationships" r:id="rId12" tooltip="Щелкните здесь, чтобы вернуться на предыдущий лист"/>
          <a:extLst>
            <a:ext uri="{FF2B5EF4-FFF2-40B4-BE49-F238E27FC236}">
              <a16:creationId xmlns:a16="http://schemas.microsoft.com/office/drawing/2014/main" id="{049FDD6C-0419-436A-A64D-A3B2D630D4B4}"/>
            </a:ext>
          </a:extLst>
        </xdr:cNvPr>
        <xdr:cNvSpPr/>
      </xdr:nvSpPr>
      <xdr:spPr>
        <a:xfrm flipH="1">
          <a:off x="571500" y="12487247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1</xdr:col>
      <xdr:colOff>3665586</xdr:colOff>
      <xdr:row>62</xdr:row>
      <xdr:rowOff>104747</xdr:rowOff>
    </xdr:from>
    <xdr:to>
      <xdr:col>1</xdr:col>
      <xdr:colOff>4940756</xdr:colOff>
      <xdr:row>64</xdr:row>
      <xdr:rowOff>59196</xdr:rowOff>
    </xdr:to>
    <xdr:sp macro="" textlink="">
      <xdr:nvSpPr>
        <xdr:cNvPr id="130" name="Кнопка«Далее»" descr="Перейти к следующему листу">
          <a:hlinkClick xmlns:r="http://schemas.openxmlformats.org/officeDocument/2006/relationships" r:id="rId1" tooltip="Щелкните здесь, чтобы вернуться на предыдущий лист"/>
          <a:extLst>
            <a:ext uri="{FF2B5EF4-FFF2-40B4-BE49-F238E27FC236}">
              <a16:creationId xmlns:a16="http://schemas.microsoft.com/office/drawing/2014/main" id="{7E521B5B-4F6E-46CF-9081-B282E69CE49D}"/>
            </a:ext>
          </a:extLst>
        </xdr:cNvPr>
        <xdr:cNvSpPr/>
      </xdr:nvSpPr>
      <xdr:spPr>
        <a:xfrm>
          <a:off x="4513311" y="12487247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5</xdr:col>
      <xdr:colOff>57148</xdr:colOff>
      <xdr:row>43</xdr:row>
      <xdr:rowOff>76207</xdr:rowOff>
    </xdr:from>
    <xdr:to>
      <xdr:col>10</xdr:col>
      <xdr:colOff>476238</xdr:colOff>
      <xdr:row>55</xdr:row>
      <xdr:rowOff>85723</xdr:rowOff>
    </xdr:to>
    <xdr:grpSp>
      <xdr:nvGrpSpPr>
        <xdr:cNvPr id="131" name="ВАЖНО" descr="ВАЖНО&#10;&#10;">
          <a:extLst>
            <a:ext uri="{FF2B5EF4-FFF2-40B4-BE49-F238E27FC236}">
              <a16:creationId xmlns:a16="http://schemas.microsoft.com/office/drawing/2014/main" id="{321AE9BC-CB50-4E20-92DE-ED300BC55383}"/>
            </a:ext>
          </a:extLst>
        </xdr:cNvPr>
        <xdr:cNvGrpSpPr/>
      </xdr:nvGrpSpPr>
      <xdr:grpSpPr>
        <a:xfrm>
          <a:off x="8353423" y="8839207"/>
          <a:ext cx="3962390" cy="2295516"/>
          <a:chOff x="7479319" y="10960177"/>
          <a:chExt cx="4107498" cy="2217112"/>
        </a:xfrm>
      </xdr:grpSpPr>
      <xdr:sp macro="" textlink="">
        <xdr:nvSpPr>
          <xdr:cNvPr id="132" name="Инструкция" descr="ВАЖНО&#10;Функция ЕСЛИОШИБКА является глобальным обработчиком ошибок, то есть подавляет любые ошибки в формуле. Это может привести к проблемам, если в формуле есть ошибка, которую следовало бы исправить.&#10;&#10;Не добавляйте обработчики ошибок в формулы, пока не будете абсолютно уверены в том, что они работают правильно.&#10;">
            <a:extLst>
              <a:ext uri="{FF2B5EF4-FFF2-40B4-BE49-F238E27FC236}">
                <a16:creationId xmlns:a16="http://schemas.microsoft.com/office/drawing/2014/main" id="{2A97E2F2-8B10-4CB5-B606-3B7DCC83E9FB}"/>
              </a:ext>
            </a:extLst>
          </xdr:cNvPr>
          <xdr:cNvSpPr txBox="1"/>
        </xdr:nvSpPr>
        <xdr:spPr>
          <a:xfrm>
            <a:off x="7765058" y="11363327"/>
            <a:ext cx="3821759" cy="1813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ВАЖНО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Функция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ЕСЛИОШИБКА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является глобальным обработчиком ошибок, то есть подавляет любые ошибки в формуле. Это может привести к проблемам, если в формуле есть ошибка, которую следовало бы исправить.</a:t>
            </a:r>
          </a:p>
          <a:p>
            <a:pPr rtl="0" eaLnBrk="1" fontAlgn="auto" latinLnBrk="0" hangingPunct="1"/>
            <a:endParaRPr lang="en-US" sz="1100" b="0" i="0" kern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Не добавляйте обработчики ошибок в формулы, пока не будете абсолютно уверены в том, что они работают правильно.</a:t>
            </a:r>
            <a:endParaRPr lang="en-US" sz="1100">
              <a:effectLst/>
            </a:endParaRPr>
          </a:p>
        </xdr:txBody>
      </xdr:sp>
      <xdr:pic>
        <xdr:nvPicPr>
          <xdr:cNvPr id="133" name="Лупа" descr="Лупа">
            <a:extLst>
              <a:ext uri="{FF2B5EF4-FFF2-40B4-BE49-F238E27FC236}">
                <a16:creationId xmlns:a16="http://schemas.microsoft.com/office/drawing/2014/main" id="{80E002ED-1A1C-4600-8617-DACB1954AE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 flipH="1">
            <a:off x="7479319" y="11420475"/>
            <a:ext cx="352313" cy="339611"/>
          </a:xfrm>
          <a:prstGeom prst="rect">
            <a:avLst/>
          </a:prstGeom>
        </xdr:spPr>
      </xdr:pic>
      <xdr:sp macro="" textlink="">
        <xdr:nvSpPr>
          <xdr:cNvPr id="134" name="Стрелка" descr="Стрелка">
            <a:extLst>
              <a:ext uri="{FF2B5EF4-FFF2-40B4-BE49-F238E27FC236}">
                <a16:creationId xmlns:a16="http://schemas.microsoft.com/office/drawing/2014/main" id="{1531872D-805C-4E14-9E2F-6B51D84DF3B2}"/>
              </a:ext>
            </a:extLst>
          </xdr:cNvPr>
          <xdr:cNvSpPr/>
        </xdr:nvSpPr>
        <xdr:spPr>
          <a:xfrm rot="3874191">
            <a:off x="8229331" y="10969973"/>
            <a:ext cx="442979" cy="423388"/>
          </a:xfrm>
          <a:prstGeom prst="arc">
            <a:avLst>
              <a:gd name="adj1" fmla="val 15011426"/>
              <a:gd name="adj2" fmla="val 672396"/>
            </a:avLst>
          </a:prstGeom>
          <a:ln w="19050">
            <a:solidFill>
              <a:schemeClr val="accent2">
                <a:lumMod val="60000"/>
                <a:lumOff val="40000"/>
              </a:schemeClr>
            </a:solidFill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  <xdr:twoCellAnchor>
    <xdr:from>
      <xdr:col>1</xdr:col>
      <xdr:colOff>100019</xdr:colOff>
      <xdr:row>6</xdr:row>
      <xdr:rowOff>66655</xdr:rowOff>
    </xdr:from>
    <xdr:to>
      <xdr:col>1</xdr:col>
      <xdr:colOff>3829057</xdr:colOff>
      <xdr:row>19</xdr:row>
      <xdr:rowOff>113871</xdr:rowOff>
    </xdr:to>
    <xdr:grpSp>
      <xdr:nvGrpSpPr>
        <xdr:cNvPr id="135" name="Группа 134">
          <a:extLst>
            <a:ext uri="{FF2B5EF4-FFF2-40B4-BE49-F238E27FC236}">
              <a16:creationId xmlns:a16="http://schemas.microsoft.com/office/drawing/2014/main" id="{6CD3A2DF-2D37-45A6-9A63-6B14AFC74B8A}"/>
            </a:ext>
          </a:extLst>
        </xdr:cNvPr>
        <xdr:cNvGrpSpPr/>
      </xdr:nvGrpSpPr>
      <xdr:grpSpPr>
        <a:xfrm>
          <a:off x="947744" y="1781155"/>
          <a:ext cx="3729038" cy="2523716"/>
          <a:chOff x="2943225" y="1476375"/>
          <a:chExt cx="3729038" cy="2523716"/>
        </a:xfrm>
      </xdr:grpSpPr>
      <xdr:sp macro="" textlink="">
        <xdr:nvSpPr>
          <xdr:cNvPr id="136" name="ФормулаНижняяСкобка">
            <a:extLst>
              <a:ext uri="{FF2B5EF4-FFF2-40B4-BE49-F238E27FC236}">
                <a16:creationId xmlns:a16="http://schemas.microsoft.com/office/drawing/2014/main" id="{C914B05B-1B48-413D-9651-8935235A015E}"/>
              </a:ext>
            </a:extLst>
          </xdr:cNvPr>
          <xdr:cNvSpPr/>
        </xdr:nvSpPr>
        <xdr:spPr>
          <a:xfrm rot="16200000">
            <a:off x="5128435" y="2648730"/>
            <a:ext cx="497160" cy="648000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rtl="0"/>
            <a:endParaRPr lang="en-US" sz="11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37" name="ФормулаНижняяСкобка">
            <a:extLst>
              <a:ext uri="{FF2B5EF4-FFF2-40B4-BE49-F238E27FC236}">
                <a16:creationId xmlns:a16="http://schemas.microsoft.com/office/drawing/2014/main" id="{9BCA2C0E-7101-41BF-ADB8-82304B7CF009}"/>
              </a:ext>
            </a:extLst>
          </xdr:cNvPr>
          <xdr:cNvSpPr/>
        </xdr:nvSpPr>
        <xdr:spPr>
          <a:xfrm rot="16200000">
            <a:off x="4205468" y="2700160"/>
            <a:ext cx="497160" cy="545139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rtl="0"/>
            <a:endParaRPr lang="en-US" sz="11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38" name="ФормулаВерхняяСкобка">
            <a:extLst>
              <a:ext uri="{FF2B5EF4-FFF2-40B4-BE49-F238E27FC236}">
                <a16:creationId xmlns:a16="http://schemas.microsoft.com/office/drawing/2014/main" id="{DB0B9C93-8027-4F56-A17E-B56ECC2D8969}"/>
              </a:ext>
            </a:extLst>
          </xdr:cNvPr>
          <xdr:cNvSpPr/>
        </xdr:nvSpPr>
        <xdr:spPr>
          <a:xfrm rot="5400000">
            <a:off x="4640125" y="2194063"/>
            <a:ext cx="497161" cy="242887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139" name="ФормулаВерхняяСкобка">
            <a:extLst>
              <a:ext uri="{FF2B5EF4-FFF2-40B4-BE49-F238E27FC236}">
                <a16:creationId xmlns:a16="http://schemas.microsoft.com/office/drawing/2014/main" id="{50351C48-F813-453E-A211-80A7D5397B0D}"/>
              </a:ext>
            </a:extLst>
          </xdr:cNvPr>
          <xdr:cNvSpPr/>
        </xdr:nvSpPr>
        <xdr:spPr>
          <a:xfrm rot="5400000">
            <a:off x="3600626" y="2161998"/>
            <a:ext cx="497162" cy="307016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140" name="текст_Формула" descr="=ВПР(A1;B:C;2;ЛОЖЬ)&#10;">
            <a:extLst>
              <a:ext uri="{FF2B5EF4-FFF2-40B4-BE49-F238E27FC236}">
                <a16:creationId xmlns:a16="http://schemas.microsoft.com/office/drawing/2014/main" id="{786BBFD9-F72E-4EA3-96E4-7C14F0A569CB}"/>
              </a:ext>
            </a:extLst>
          </xdr:cNvPr>
          <xdr:cNvSpPr txBox="1"/>
        </xdr:nvSpPr>
        <xdr:spPr>
          <a:xfrm>
            <a:off x="2943225" y="2476500"/>
            <a:ext cx="3729038" cy="5291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Ins="0" bIns="0" rtlCol="0" anchor="t"/>
          <a:lstStyle/>
          <a:p>
            <a:pPr marL="0" marR="0" rtl="0">
              <a:spcBef>
                <a:spcPts val="0"/>
              </a:spcBef>
              <a:spcAft>
                <a:spcPts val="0"/>
              </a:spcAft>
            </a:pPr>
            <a:r>
              <a:rPr lang="ru" sz="2000">
                <a:solidFill>
                  <a:srgbClr val="000000"/>
                </a:solidFill>
                <a:effectLst/>
                <a:latin typeface="Courier New" panose="02070309020205020404" pitchFamily="49" charset="0"/>
                <a:ea typeface="Times New Roman" panose="02020603050405020304" pitchFamily="18" charset="0"/>
              </a:rPr>
              <a:t>=ВПР(A1;B:C;2;ЛОЖЬ)</a:t>
            </a:r>
            <a:endParaRPr lang="en-US" sz="20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sp macro="" textlink="">
        <xdr:nvSpPr>
          <xdr:cNvPr id="141" name="текст_ФормулаВерхняяВыноска" descr="Что нужно найти?&#10;&#10;">
            <a:extLst>
              <a:ext uri="{FF2B5EF4-FFF2-40B4-BE49-F238E27FC236}">
                <a16:creationId xmlns:a16="http://schemas.microsoft.com/office/drawing/2014/main" id="{6F5BDB75-1135-403E-AEFC-247F7625DDEB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19475" y="1476375"/>
            <a:ext cx="928688" cy="72349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Что нужно найти?</a:t>
            </a:r>
          </a:p>
        </xdr:txBody>
      </xdr:sp>
      <xdr:sp macro="" textlink="">
        <xdr:nvSpPr>
          <xdr:cNvPr id="142" name="текст_ФормулаВерхняяВыноска" descr="Из какого столбца справа нужно получить значение?&#10;">
            <a:extLst>
              <a:ext uri="{FF2B5EF4-FFF2-40B4-BE49-F238E27FC236}">
                <a16:creationId xmlns:a16="http://schemas.microsoft.com/office/drawing/2014/main" id="{18D133B9-5AB0-40F3-B62C-4B60B0FDC556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1513" y="1476375"/>
            <a:ext cx="1643062" cy="72349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Из какого столбца справа нужно получить значение?</a:t>
            </a:r>
          </a:p>
        </xdr:txBody>
      </xdr:sp>
      <xdr:sp macro="" textlink="">
        <xdr:nvSpPr>
          <xdr:cNvPr id="143" name="текст_ФормулаНижняяВыноска" descr="Где нужно найти значение?&#10;">
            <a:extLst>
              <a:ext uri="{FF2B5EF4-FFF2-40B4-BE49-F238E27FC236}">
                <a16:creationId xmlns:a16="http://schemas.microsoft.com/office/drawing/2014/main" id="{7A0BF5A2-0462-4CFA-A98B-D5D3A7DC336D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52875" y="3105150"/>
            <a:ext cx="960438" cy="894941"/>
          </a:xfrm>
          <a:prstGeom prst="rect">
            <a:avLst/>
          </a:prstGeom>
          <a:solidFill>
            <a:srgbClr val="E2F0D9"/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indent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Где нужно найти значение?</a:t>
            </a:r>
          </a:p>
        </xdr:txBody>
      </xdr:sp>
      <xdr:sp macro="" textlink="">
        <xdr:nvSpPr>
          <xdr:cNvPr id="144" name="текст_ФормулаНижняяВыноска" descr="Может ли совпадение быть неточным?&#10;">
            <a:extLst>
              <a:ext uri="{FF2B5EF4-FFF2-40B4-BE49-F238E27FC236}">
                <a16:creationId xmlns:a16="http://schemas.microsoft.com/office/drawing/2014/main" id="{B53691DA-0A76-4040-8DEE-B27DBF05FE8C}"/>
              </a:ext>
            </a:extLst>
          </xdr:cNvPr>
          <xdr:cNvSpPr txBox="1">
            <a:spLocks noChangeArrowheads="1"/>
          </xdr:cNvSpPr>
        </xdr:nvSpPr>
        <xdr:spPr bwMode="auto">
          <a:xfrm>
            <a:off x="5043488" y="3105150"/>
            <a:ext cx="960438" cy="894941"/>
          </a:xfrm>
          <a:prstGeom prst="rect">
            <a:avLst/>
          </a:prstGeom>
          <a:solidFill>
            <a:srgbClr val="E2F0D9"/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indent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Может ли совпадение быть неточным?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79528</xdr:colOff>
      <xdr:row>92</xdr:row>
      <xdr:rowOff>38101</xdr:rowOff>
    </xdr:from>
    <xdr:to>
      <xdr:col>20</xdr:col>
      <xdr:colOff>164645</xdr:colOff>
      <xdr:row>95</xdr:row>
      <xdr:rowOff>22201</xdr:rowOff>
    </xdr:to>
    <xdr:sp macro="" textlink="">
      <xdr:nvSpPr>
        <xdr:cNvPr id="8" name="Шаг" descr="Введите =СУММ(D4:D7) и нажмите клавишу ВВОД. Когда вы сделаете это, отобразится результат 170.">
          <a:extLst>
            <a:ext uri="{FF2B5EF4-FFF2-40B4-BE49-F238E27FC236}">
              <a16:creationId xmlns:a16="http://schemas.microsoft.com/office/drawing/2014/main" id="{8F26A0BE-2507-40C1-88A3-4D85E7F8E095}"/>
            </a:ext>
          </a:extLst>
        </xdr:cNvPr>
        <xdr:cNvSpPr txBox="1"/>
      </xdr:nvSpPr>
      <xdr:spPr>
        <a:xfrm>
          <a:off x="13614553" y="18211801"/>
          <a:ext cx="4809517" cy="5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1100" kern="0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19</xdr:col>
      <xdr:colOff>323850</xdr:colOff>
      <xdr:row>75</xdr:row>
      <xdr:rowOff>38100</xdr:rowOff>
    </xdr:from>
    <xdr:to>
      <xdr:col>34</xdr:col>
      <xdr:colOff>85725</xdr:colOff>
      <xdr:row>84</xdr:row>
      <xdr:rowOff>172910</xdr:rowOff>
    </xdr:to>
    <xdr:grpSp>
      <xdr:nvGrpSpPr>
        <xdr:cNvPr id="88" name="ПОЛЕЗНЫЕ СВЕДЕНИЯ" descr="ПОЛЕЗНЫЕ СВЕДЕНИЯ&#10;Дважды щелкните эту ячейку. Вы увидите, что формула изменилась. В частности, условие суммы имеет вид «&gt;=50», то есть больше или равно 50. Можно использовать другие операторы, например «&lt;=50», то есть меньше или равно 50. Также есть оператор «&lt;&gt; 50», что значит «не равно 50».&#10;">
          <a:extLst>
            <a:ext uri="{FF2B5EF4-FFF2-40B4-BE49-F238E27FC236}">
              <a16:creationId xmlns:a16="http://schemas.microsoft.com/office/drawing/2014/main" id="{22FED87C-334E-45C5-A4CC-FBD0B802BEDC}"/>
            </a:ext>
          </a:extLst>
        </xdr:cNvPr>
        <xdr:cNvGrpSpPr/>
      </xdr:nvGrpSpPr>
      <xdr:grpSpPr>
        <a:xfrm>
          <a:off x="18897600" y="14935200"/>
          <a:ext cx="3305175" cy="1849310"/>
          <a:chOff x="6778625" y="15514765"/>
          <a:chExt cx="3432175" cy="1776285"/>
        </a:xfrm>
      </xdr:grpSpPr>
      <xdr:sp macro="" textlink="">
        <xdr:nvSpPr>
          <xdr:cNvPr id="92" name="Шаг" descr="ПОЛЕЗНЫЕ СВЕДЕНИЯ&#10;Дважды щелкните эту ячейку. Вы увидите, что формула изменилась. В частности, условие суммы имеет вид «&gt;=50», то есть больше или равно 50. Можно использовать другие операторы, например «&lt;=50», то есть меньше или равно 50. Также есть оператор «&lt;&gt; 50», что значит «не равно 50».&#10;">
            <a:extLst>
              <a:ext uri="{FF2B5EF4-FFF2-40B4-BE49-F238E27FC236}">
                <a16:creationId xmlns:a16="http://schemas.microsoft.com/office/drawing/2014/main" id="{80FDEA48-605A-47F3-959F-C6A1DA9817BC}"/>
              </a:ext>
            </a:extLst>
          </xdr:cNvPr>
          <xdr:cNvSpPr txBox="1"/>
        </xdr:nvSpPr>
        <xdr:spPr>
          <a:xfrm>
            <a:off x="7042958" y="15665450"/>
            <a:ext cx="3167842" cy="1625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ПОЛЕЗНЫЕ СВЕДЕНИЯ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Дважды щелкните эту ячейку. Вы увидите, что формула изменилась. В частности, условие суммы имеет вид «&gt;=50», то есть больше или равно 50. Можно использовать другие операторы, например «&lt;=50», то есть </a:t>
            </a:r>
            <a:r>
              <a:rPr lang="ru" sz="1100" b="0" i="1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меньше или равно 50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. Также есть оператор «&lt;&gt; 50», что значит </a:t>
            </a:r>
            <a:r>
              <a:rPr lang="ru" sz="1100" b="0" i="1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«не равно 50»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. </a:t>
            </a:r>
            <a:endParaRPr lang="en-US" sz="1100">
              <a:effectLst/>
              <a:latin typeface="+mn-lt"/>
            </a:endParaRPr>
          </a:p>
        </xdr:txBody>
      </xdr:sp>
      <xdr:pic>
        <xdr:nvPicPr>
          <xdr:cNvPr id="93" name="Графический объект 147" descr="Очки">
            <a:extLst>
              <a:ext uri="{FF2B5EF4-FFF2-40B4-BE49-F238E27FC236}">
                <a16:creationId xmlns:a16="http://schemas.microsoft.com/office/drawing/2014/main" id="{003F6226-FC02-4E5E-9211-9DFEF51A3D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78625" y="15665450"/>
            <a:ext cx="323347" cy="349115"/>
          </a:xfrm>
          <a:prstGeom prst="rect">
            <a:avLst/>
          </a:prstGeom>
        </xdr:spPr>
      </xdr:pic>
      <xdr:sp macro="" textlink="">
        <xdr:nvSpPr>
          <xdr:cNvPr id="94" name="Полилиния: фигура 93" descr="Стрелка">
            <a:extLst>
              <a:ext uri="{FF2B5EF4-FFF2-40B4-BE49-F238E27FC236}">
                <a16:creationId xmlns:a16="http://schemas.microsoft.com/office/drawing/2014/main" id="{15104F1B-103C-46F0-AEAD-84159160100C}"/>
              </a:ext>
            </a:extLst>
          </xdr:cNvPr>
          <xdr:cNvSpPr/>
        </xdr:nvSpPr>
        <xdr:spPr>
          <a:xfrm rot="5953034" flipV="1">
            <a:off x="8741246" y="15054464"/>
            <a:ext cx="284005" cy="1204607"/>
          </a:xfrm>
          <a:custGeom>
            <a:avLst/>
            <a:gdLst>
              <a:gd name="connsiteX0" fmla="*/ 279015 w 279015"/>
              <a:gd name="connsiteY0" fmla="*/ 99249 h 1391008"/>
              <a:gd name="connsiteX1" fmla="*/ 134697 w 279015"/>
              <a:gd name="connsiteY1" fmla="*/ 118492 h 1391008"/>
              <a:gd name="connsiteX2" fmla="*/ 211667 w 279015"/>
              <a:gd name="connsiteY2" fmla="*/ 1282658 h 1391008"/>
              <a:gd name="connsiteX3" fmla="*/ 0 w 279015"/>
              <a:gd name="connsiteY3" fmla="*/ 1340386 h 1391008"/>
              <a:gd name="connsiteX4" fmla="*/ 0 w 279015"/>
              <a:gd name="connsiteY4" fmla="*/ 1340386 h 1391008"/>
              <a:gd name="connsiteX0" fmla="*/ 279015 w 279015"/>
              <a:gd name="connsiteY0" fmla="*/ 32141 h 1310271"/>
              <a:gd name="connsiteX1" fmla="*/ 152422 w 279015"/>
              <a:gd name="connsiteY1" fmla="*/ 244286 h 1310271"/>
              <a:gd name="connsiteX2" fmla="*/ 211667 w 279015"/>
              <a:gd name="connsiteY2" fmla="*/ 1215550 h 1310271"/>
              <a:gd name="connsiteX3" fmla="*/ 0 w 279015"/>
              <a:gd name="connsiteY3" fmla="*/ 1273278 h 1310271"/>
              <a:gd name="connsiteX4" fmla="*/ 0 w 279015"/>
              <a:gd name="connsiteY4" fmla="*/ 1273278 h 1310271"/>
              <a:gd name="connsiteX0" fmla="*/ 279015 w 279015"/>
              <a:gd name="connsiteY0" fmla="*/ 2960 h 1281090"/>
              <a:gd name="connsiteX1" fmla="*/ 152422 w 279015"/>
              <a:gd name="connsiteY1" fmla="*/ 215105 h 1281090"/>
              <a:gd name="connsiteX2" fmla="*/ 211667 w 279015"/>
              <a:gd name="connsiteY2" fmla="*/ 1186369 h 1281090"/>
              <a:gd name="connsiteX3" fmla="*/ 0 w 279015"/>
              <a:gd name="connsiteY3" fmla="*/ 1244097 h 1281090"/>
              <a:gd name="connsiteX4" fmla="*/ 0 w 279015"/>
              <a:gd name="connsiteY4" fmla="*/ 1244097 h 12810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79015" h="1281090">
                <a:moveTo>
                  <a:pt x="279015" y="2960"/>
                </a:moveTo>
                <a:cubicBezTo>
                  <a:pt x="162617" y="-10856"/>
                  <a:pt x="163647" y="17870"/>
                  <a:pt x="152422" y="215105"/>
                </a:cubicBezTo>
                <a:cubicBezTo>
                  <a:pt x="141197" y="412340"/>
                  <a:pt x="237071" y="1014870"/>
                  <a:pt x="211667" y="1186369"/>
                </a:cubicBezTo>
                <a:cubicBezTo>
                  <a:pt x="186263" y="1357868"/>
                  <a:pt x="0" y="1244097"/>
                  <a:pt x="0" y="1244097"/>
                </a:cubicBezTo>
                <a:lnTo>
                  <a:pt x="0" y="1244097"/>
                </a:ln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triangl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  <xdr:twoCellAnchor editAs="absolute">
    <xdr:from>
      <xdr:col>0</xdr:col>
      <xdr:colOff>352424</xdr:colOff>
      <xdr:row>148</xdr:row>
      <xdr:rowOff>104776</xdr:rowOff>
    </xdr:from>
    <xdr:to>
      <xdr:col>1</xdr:col>
      <xdr:colOff>5229224</xdr:colOff>
      <xdr:row>169</xdr:row>
      <xdr:rowOff>27441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F31110CC-1652-426F-8A11-3D24DC9CD3D1}"/>
            </a:ext>
          </a:extLst>
        </xdr:cNvPr>
        <xdr:cNvGrpSpPr/>
      </xdr:nvGrpSpPr>
      <xdr:grpSpPr>
        <a:xfrm>
          <a:off x="352424" y="28946476"/>
          <a:ext cx="5724525" cy="3923165"/>
          <a:chOff x="447674" y="25631776"/>
          <a:chExt cx="5724525" cy="3762374"/>
        </a:xfrm>
      </xdr:grpSpPr>
      <xdr:sp macro="" textlink="">
        <xdr:nvSpPr>
          <xdr:cNvPr id="152" name="Прямоугольник 151">
            <a:extLst>
              <a:ext uri="{FF2B5EF4-FFF2-40B4-BE49-F238E27FC236}">
                <a16:creationId xmlns:a16="http://schemas.microsoft.com/office/drawing/2014/main" id="{54D87238-E746-4C47-ABBA-E10A64262FCE}"/>
              </a:ext>
            </a:extLst>
          </xdr:cNvPr>
          <xdr:cNvSpPr/>
        </xdr:nvSpPr>
        <xdr:spPr>
          <a:xfrm>
            <a:off x="447674" y="25631776"/>
            <a:ext cx="5724525" cy="3762374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/>
          </a:p>
        </xdr:txBody>
      </xdr:sp>
      <xdr:sp macro="" textlink="">
        <xdr:nvSpPr>
          <xdr:cNvPr id="155" name="Шаг" descr="Дополнительные сведения в Интернете&#10;">
            <a:extLst>
              <a:ext uri="{FF2B5EF4-FFF2-40B4-BE49-F238E27FC236}">
                <a16:creationId xmlns:a16="http://schemas.microsoft.com/office/drawing/2014/main" id="{E4E79A32-97A9-47B0-87C7-3090F1C4978F}"/>
              </a:ext>
            </a:extLst>
          </xdr:cNvPr>
          <xdr:cNvSpPr txBox="1"/>
        </xdr:nvSpPr>
        <xdr:spPr>
          <a:xfrm>
            <a:off x="659860" y="25748461"/>
            <a:ext cx="5246187" cy="4638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Дополнительные сведения в Интернете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cxnSp macro="">
        <xdr:nvCxnSpPr>
          <xdr:cNvPr id="158" name="Прямая соединительная линия 157" descr="Декоративная линия">
            <a:extLst>
              <a:ext uri="{FF2B5EF4-FFF2-40B4-BE49-F238E27FC236}">
                <a16:creationId xmlns:a16="http://schemas.microsoft.com/office/drawing/2014/main" id="{C1DC7374-254A-47B0-91EF-5014A7B4001F}"/>
              </a:ext>
            </a:extLst>
          </xdr:cNvPr>
          <xdr:cNvCxnSpPr>
            <a:cxnSpLocks/>
          </xdr:cNvCxnSpPr>
        </xdr:nvCxnSpPr>
        <xdr:spPr>
          <a:xfrm>
            <a:off x="663028" y="26228550"/>
            <a:ext cx="5243020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" name="Прямая соединительная линия 163" descr="Декоративная линия">
            <a:extLst>
              <a:ext uri="{FF2B5EF4-FFF2-40B4-BE49-F238E27FC236}">
                <a16:creationId xmlns:a16="http://schemas.microsoft.com/office/drawing/2014/main" id="{86A13197-B0BB-44E6-87AB-432D5098D000}"/>
              </a:ext>
            </a:extLst>
          </xdr:cNvPr>
          <xdr:cNvCxnSpPr>
            <a:cxnSpLocks/>
          </xdr:cNvCxnSpPr>
        </xdr:nvCxnSpPr>
        <xdr:spPr>
          <a:xfrm>
            <a:off x="663028" y="28602975"/>
            <a:ext cx="5243020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0</xdr:col>
      <xdr:colOff>342900</xdr:colOff>
      <xdr:row>0</xdr:row>
      <xdr:rowOff>352424</xdr:rowOff>
    </xdr:from>
    <xdr:to>
      <xdr:col>1</xdr:col>
      <xdr:colOff>5229225</xdr:colOff>
      <xdr:row>52</xdr:row>
      <xdr:rowOff>8924</xdr:rowOff>
    </xdr:to>
    <xdr:sp macro="" textlink="">
      <xdr:nvSpPr>
        <xdr:cNvPr id="168" name="Фон" descr="Фон">
          <a:extLst>
            <a:ext uri="{FF2B5EF4-FFF2-40B4-BE49-F238E27FC236}">
              <a16:creationId xmlns:a16="http://schemas.microsoft.com/office/drawing/2014/main" id="{E6C939DA-20FC-4617-9AC0-0E0FD53C0BBC}"/>
            </a:ext>
          </a:extLst>
        </xdr:cNvPr>
        <xdr:cNvSpPr/>
      </xdr:nvSpPr>
      <xdr:spPr>
        <a:xfrm>
          <a:off x="342900" y="352424"/>
          <a:ext cx="5734050" cy="10134000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 rtl="0"/>
          <a:endParaRPr lang="en-US" sz="2200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547701</xdr:colOff>
      <xdr:row>2</xdr:row>
      <xdr:rowOff>66675</xdr:rowOff>
    </xdr:from>
    <xdr:to>
      <xdr:col>1</xdr:col>
      <xdr:colOff>4948224</xdr:colOff>
      <xdr:row>2</xdr:row>
      <xdr:rowOff>66675</xdr:rowOff>
    </xdr:to>
    <xdr:cxnSp macro="">
      <xdr:nvCxnSpPr>
        <xdr:cNvPr id="169" name="Нижняя линия" descr="Декоративная линия">
          <a:extLst>
            <a:ext uri="{FF2B5EF4-FFF2-40B4-BE49-F238E27FC236}">
              <a16:creationId xmlns:a16="http://schemas.microsoft.com/office/drawing/2014/main" id="{A5862B64-F553-4E4F-B5B8-0DE209AA7E25}"/>
            </a:ext>
          </a:extLst>
        </xdr:cNvPr>
        <xdr:cNvCxnSpPr>
          <a:cxnSpLocks/>
        </xdr:cNvCxnSpPr>
      </xdr:nvCxnSpPr>
      <xdr:spPr>
        <a:xfrm>
          <a:off x="547701" y="1019175"/>
          <a:ext cx="5248248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547701</xdr:colOff>
      <xdr:row>0</xdr:row>
      <xdr:rowOff>447675</xdr:rowOff>
    </xdr:from>
    <xdr:to>
      <xdr:col>1</xdr:col>
      <xdr:colOff>4951420</xdr:colOff>
      <xdr:row>1</xdr:row>
      <xdr:rowOff>171517</xdr:rowOff>
    </xdr:to>
    <xdr:sp macro="" textlink="">
      <xdr:nvSpPr>
        <xdr:cNvPr id="170" name="Шаг" descr="Условные функции: СУММЕСЛИ&#10;">
          <a:extLst>
            <a:ext uri="{FF2B5EF4-FFF2-40B4-BE49-F238E27FC236}">
              <a16:creationId xmlns:a16="http://schemas.microsoft.com/office/drawing/2014/main" id="{317D1451-8BD0-4C45-8A01-4F1AD711CF9A}"/>
            </a:ext>
          </a:extLst>
        </xdr:cNvPr>
        <xdr:cNvSpPr txBox="1"/>
      </xdr:nvSpPr>
      <xdr:spPr>
        <a:xfrm>
          <a:off x="547701" y="447675"/>
          <a:ext cx="5251444" cy="4858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22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Условные функции: СУММЕСЛИ</a:t>
          </a:r>
        </a:p>
      </xdr:txBody>
    </xdr:sp>
    <xdr:clientData/>
  </xdr:twoCellAnchor>
  <xdr:twoCellAnchor editAs="absolute">
    <xdr:from>
      <xdr:col>0</xdr:col>
      <xdr:colOff>547701</xdr:colOff>
      <xdr:row>47</xdr:row>
      <xdr:rowOff>164042</xdr:rowOff>
    </xdr:from>
    <xdr:to>
      <xdr:col>1</xdr:col>
      <xdr:colOff>4948224</xdr:colOff>
      <xdr:row>47</xdr:row>
      <xdr:rowOff>164042</xdr:rowOff>
    </xdr:to>
    <xdr:cxnSp macro="">
      <xdr:nvCxnSpPr>
        <xdr:cNvPr id="171" name="Нижняя линия" descr="Декоративная линия">
          <a:extLst>
            <a:ext uri="{FF2B5EF4-FFF2-40B4-BE49-F238E27FC236}">
              <a16:creationId xmlns:a16="http://schemas.microsoft.com/office/drawing/2014/main" id="{CDE7F952-1938-4D52-9DF8-081F00B24DBB}"/>
            </a:ext>
          </a:extLst>
        </xdr:cNvPr>
        <xdr:cNvCxnSpPr>
          <a:cxnSpLocks/>
        </xdr:cNvCxnSpPr>
      </xdr:nvCxnSpPr>
      <xdr:spPr>
        <a:xfrm>
          <a:off x="547701" y="9689042"/>
          <a:ext cx="5248248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571500</xdr:colOff>
      <xdr:row>2</xdr:row>
      <xdr:rowOff>57150</xdr:rowOff>
    </xdr:from>
    <xdr:to>
      <xdr:col>1</xdr:col>
      <xdr:colOff>5024713</xdr:colOff>
      <xdr:row>6</xdr:row>
      <xdr:rowOff>76200</xdr:rowOff>
    </xdr:to>
    <xdr:sp macro="" textlink="">
      <xdr:nvSpPr>
        <xdr:cNvPr id="172" name="Общие сведения о сложении чисел" descr="Условные функции позволяют определять сумму, среднее, количество значений, минимум и максимум в диапазоне с учетом указанного условия. Например, можно определить, сколько в списке фруктов яблок или апельсинов сорта Florida.&#10;">
          <a:extLst>
            <a:ext uri="{FF2B5EF4-FFF2-40B4-BE49-F238E27FC236}">
              <a16:creationId xmlns:a16="http://schemas.microsoft.com/office/drawing/2014/main" id="{9A24D79D-F087-4F19-ACAE-4CAC391FF978}"/>
            </a:ext>
          </a:extLst>
        </xdr:cNvPr>
        <xdr:cNvSpPr txBox="1"/>
      </xdr:nvSpPr>
      <xdr:spPr>
        <a:xfrm>
          <a:off x="571500" y="1009650"/>
          <a:ext cx="5300938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kern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Условные функции позволяют определять сумму, среднее, количество значений, минимум и максимум в диапазоне с учетом указанного условия. Например</a:t>
          </a:r>
          <a:r>
            <a:rPr lang="ru" sz="1100" kern="1200" baseline="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, можно определить, сколько в списке фруктов яблок или апельсинов сорта Florida.</a:t>
          </a: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523788</xdr:colOff>
      <xdr:row>7</xdr:row>
      <xdr:rowOff>28575</xdr:rowOff>
    </xdr:from>
    <xdr:to>
      <xdr:col>1</xdr:col>
      <xdr:colOff>4915231</xdr:colOff>
      <xdr:row>12</xdr:row>
      <xdr:rowOff>123825</xdr:rowOff>
    </xdr:to>
    <xdr:grpSp>
      <xdr:nvGrpSpPr>
        <xdr:cNvPr id="5" name="Группа 4">
          <a:extLst>
            <a:ext uri="{FF2B5EF4-FFF2-40B4-BE49-F238E27FC236}">
              <a16:creationId xmlns:a16="http://schemas.microsoft.com/office/drawing/2014/main" id="{8A59968F-9E53-4DA4-A0EC-0D567AB08F0D}"/>
            </a:ext>
          </a:extLst>
        </xdr:cNvPr>
        <xdr:cNvGrpSpPr/>
      </xdr:nvGrpSpPr>
      <xdr:grpSpPr>
        <a:xfrm>
          <a:off x="523788" y="1933575"/>
          <a:ext cx="5239168" cy="1047750"/>
          <a:chOff x="571500" y="1771650"/>
          <a:chExt cx="5229626" cy="1047750"/>
        </a:xfrm>
      </xdr:grpSpPr>
      <xdr:sp macro="" textlink="">
        <xdr:nvSpPr>
          <xdr:cNvPr id="174" name="текст_Шаг" descr="Функция СУММЕСЛИ позволяет вычислить сумму в одном диапазоне с учетом условия, соответствие которому определяется по другому диапазону. Например, так можно определить общее количество яблок. Выберите ячейку D17 и введите =СУММЕСЛИ(C3:C14;C17;D3:D14). Функция СУММЕСЛИ имеет следующий синтаксис:&#10;">
            <a:extLst>
              <a:ext uri="{FF2B5EF4-FFF2-40B4-BE49-F238E27FC236}">
                <a16:creationId xmlns:a16="http://schemas.microsoft.com/office/drawing/2014/main" id="{2D2520E8-CC78-428A-A2A1-03FB76DC9AF2}"/>
              </a:ext>
            </a:extLst>
          </xdr:cNvPr>
          <xdr:cNvSpPr txBox="1"/>
        </xdr:nvSpPr>
        <xdr:spPr>
          <a:xfrm>
            <a:off x="991382" y="1813608"/>
            <a:ext cx="4809744" cy="10057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Функция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СУММЕСЛИ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позволяет вычислить сумму в одном диапазоне с учетом условия, соответствие которому определяется по другому диапазону. Например, так можно определить общее количество яблок. Выберите ячейку D17 и введите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=СУММЕСЛИ(C3:C14;C17;D3:D14)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 Функция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СУММЕСЛИ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имеет следующий синтаксис:</a:t>
            </a:r>
          </a:p>
        </xdr:txBody>
      </xdr:sp>
      <xdr:sp macro="" textlink="">
        <xdr:nvSpPr>
          <xdr:cNvPr id="175" name="фигура_Шаг" descr="1">
            <a:extLst>
              <a:ext uri="{FF2B5EF4-FFF2-40B4-BE49-F238E27FC236}">
                <a16:creationId xmlns:a16="http://schemas.microsoft.com/office/drawing/2014/main" id="{DDA35D30-C9B0-4579-BCA5-F2ECE76A935E}"/>
              </a:ext>
            </a:extLst>
          </xdr:cNvPr>
          <xdr:cNvSpPr/>
        </xdr:nvSpPr>
        <xdr:spPr>
          <a:xfrm>
            <a:off x="571500" y="1771650"/>
            <a:ext cx="374621" cy="366863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1</a:t>
            </a:r>
          </a:p>
        </xdr:txBody>
      </xdr:sp>
    </xdr:grpSp>
    <xdr:clientData/>
  </xdr:twoCellAnchor>
  <xdr:twoCellAnchor editAs="absolute">
    <xdr:from>
      <xdr:col>1</xdr:col>
      <xdr:colOff>3743326</xdr:colOff>
      <xdr:row>48</xdr:row>
      <xdr:rowOff>135466</xdr:rowOff>
    </xdr:from>
    <xdr:to>
      <xdr:col>1</xdr:col>
      <xdr:colOff>4887529</xdr:colOff>
      <xdr:row>50</xdr:row>
      <xdr:rowOff>112065</xdr:rowOff>
    </xdr:to>
    <xdr:sp macro="" textlink="">
      <xdr:nvSpPr>
        <xdr:cNvPr id="176" name="Кнопка«Далее»" descr="Перейти к следующему листу">
          <a:hlinkClick xmlns:r="http://schemas.openxmlformats.org/officeDocument/2006/relationships" r:id="rId3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A7F57915-4D95-47B4-A488-FB7E3D0BBF97}"/>
            </a:ext>
          </a:extLst>
        </xdr:cNvPr>
        <xdr:cNvSpPr/>
      </xdr:nvSpPr>
      <xdr:spPr>
        <a:xfrm>
          <a:off x="4591051" y="9850966"/>
          <a:ext cx="1144203" cy="35759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/>
  </xdr:twoCellAnchor>
  <xdr:twoCellAnchor editAs="absolute">
    <xdr:from>
      <xdr:col>0</xdr:col>
      <xdr:colOff>652334</xdr:colOff>
      <xdr:row>165</xdr:row>
      <xdr:rowOff>106326</xdr:rowOff>
    </xdr:from>
    <xdr:to>
      <xdr:col>1</xdr:col>
      <xdr:colOff>2562832</xdr:colOff>
      <xdr:row>168</xdr:row>
      <xdr:rowOff>81489</xdr:rowOff>
    </xdr:to>
    <xdr:sp macro="" textlink="">
      <xdr:nvSpPr>
        <xdr:cNvPr id="177" name="Кнопка «Далее»" descr="Кнопка «В начало страницы» с гиперссылкой на ячейку A1">
          <a:hlinkClick xmlns:r="http://schemas.openxmlformats.org/officeDocument/2006/relationships" r:id="rId4" tooltip="В начало страницы"/>
          <a:extLst>
            <a:ext uri="{FF2B5EF4-FFF2-40B4-BE49-F238E27FC236}">
              <a16:creationId xmlns:a16="http://schemas.microsoft.com/office/drawing/2014/main" id="{F1F17ADA-3374-4672-8F57-B7354AE50F61}"/>
            </a:ext>
          </a:extLst>
        </xdr:cNvPr>
        <xdr:cNvSpPr/>
      </xdr:nvSpPr>
      <xdr:spPr>
        <a:xfrm>
          <a:off x="652334" y="32186526"/>
          <a:ext cx="2758223" cy="546663"/>
        </a:xfrm>
        <a:prstGeom prst="up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В начало страницы</a:t>
          </a:r>
        </a:p>
      </xdr:txBody>
    </xdr:sp>
    <xdr:clientData/>
  </xdr:twoCellAnchor>
  <xdr:twoCellAnchor editAs="absolute">
    <xdr:from>
      <xdr:col>1</xdr:col>
      <xdr:colOff>3389557</xdr:colOff>
      <xdr:row>166</xdr:row>
      <xdr:rowOff>108030</xdr:rowOff>
    </xdr:from>
    <xdr:to>
      <xdr:col>1</xdr:col>
      <xdr:colOff>5009557</xdr:colOff>
      <xdr:row>168</xdr:row>
      <xdr:rowOff>84137</xdr:rowOff>
    </xdr:to>
    <xdr:sp macro="" textlink="">
      <xdr:nvSpPr>
        <xdr:cNvPr id="178" name="Кнопка «Далее»" descr="Кнопка «Следующий шаг» с гиперссылкой на следующий лист">
          <a:hlinkClick xmlns:r="http://schemas.openxmlformats.org/officeDocument/2006/relationships" r:id="rId3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21885DC0-F099-46D4-A1CF-17E11C390036}"/>
            </a:ext>
          </a:extLst>
        </xdr:cNvPr>
        <xdr:cNvSpPr/>
      </xdr:nvSpPr>
      <xdr:spPr>
        <a:xfrm>
          <a:off x="4237282" y="32378730"/>
          <a:ext cx="1620000" cy="357107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Следующий шаг</a:t>
          </a:r>
        </a:p>
      </xdr:txBody>
    </xdr:sp>
    <xdr:clientData/>
  </xdr:twoCellAnchor>
  <xdr:twoCellAnchor editAs="absolute">
    <xdr:from>
      <xdr:col>1</xdr:col>
      <xdr:colOff>2875440</xdr:colOff>
      <xdr:row>161</xdr:row>
      <xdr:rowOff>161658</xdr:rowOff>
    </xdr:from>
    <xdr:to>
      <xdr:col>1</xdr:col>
      <xdr:colOff>5133975</xdr:colOff>
      <xdr:row>164</xdr:row>
      <xdr:rowOff>57150</xdr:rowOff>
    </xdr:to>
    <xdr:sp macro="" textlink="">
      <xdr:nvSpPr>
        <xdr:cNvPr id="179" name="Шаг" descr="Гиперссылка на бесплатные учебные веб-курсы по Excel&#10;">
          <a:hlinkClick xmlns:r="http://schemas.openxmlformats.org/officeDocument/2006/relationships" r:id="rId5" tooltip="Сведения о бесплатных учебных веб-курсах по Excel"/>
          <a:extLst>
            <a:ext uri="{FF2B5EF4-FFF2-40B4-BE49-F238E27FC236}">
              <a16:creationId xmlns:a16="http://schemas.microsoft.com/office/drawing/2014/main" id="{8052CE9F-9F0B-4E5C-BCC9-9FAF4B271CC6}"/>
            </a:ext>
          </a:extLst>
        </xdr:cNvPr>
        <xdr:cNvSpPr txBox="1"/>
      </xdr:nvSpPr>
      <xdr:spPr>
        <a:xfrm>
          <a:off x="3723165" y="31479858"/>
          <a:ext cx="2258535" cy="4669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Бесплатные учебные веб-курсы по Excel</a:t>
          </a:r>
        </a:p>
      </xdr:txBody>
    </xdr:sp>
    <xdr:clientData/>
  </xdr:twoCellAnchor>
  <xdr:twoCellAnchor editAs="absolute">
    <xdr:from>
      <xdr:col>1</xdr:col>
      <xdr:colOff>2410256</xdr:colOff>
      <xdr:row>161</xdr:row>
      <xdr:rowOff>89421</xdr:rowOff>
    </xdr:from>
    <xdr:to>
      <xdr:col>1</xdr:col>
      <xdr:colOff>2904988</xdr:colOff>
      <xdr:row>163</xdr:row>
      <xdr:rowOff>163253</xdr:rowOff>
    </xdr:to>
    <xdr:pic>
      <xdr:nvPicPr>
        <xdr:cNvPr id="180" name="Графический объект 22" descr="Стрелка">
          <a:hlinkClick xmlns:r="http://schemas.openxmlformats.org/officeDocument/2006/relationships" r:id="rId5" tooltip="Дополнительные сведения в Интернете"/>
          <a:extLst>
            <a:ext uri="{FF2B5EF4-FFF2-40B4-BE49-F238E27FC236}">
              <a16:creationId xmlns:a16="http://schemas.microsoft.com/office/drawing/2014/main" id="{55352AF2-EDC1-4D5D-8D55-283766F19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57981" y="31407621"/>
          <a:ext cx="494732" cy="454832"/>
        </a:xfrm>
        <a:prstGeom prst="rect">
          <a:avLst/>
        </a:prstGeom>
      </xdr:spPr>
    </xdr:pic>
    <xdr:clientData/>
  </xdr:twoCellAnchor>
  <xdr:twoCellAnchor editAs="absolute">
    <xdr:from>
      <xdr:col>1</xdr:col>
      <xdr:colOff>2875441</xdr:colOff>
      <xdr:row>159</xdr:row>
      <xdr:rowOff>94855</xdr:rowOff>
    </xdr:from>
    <xdr:to>
      <xdr:col>1</xdr:col>
      <xdr:colOff>5145305</xdr:colOff>
      <xdr:row>161</xdr:row>
      <xdr:rowOff>30841</xdr:rowOff>
    </xdr:to>
    <xdr:sp macro="" textlink="">
      <xdr:nvSpPr>
        <xdr:cNvPr id="181" name="Шаг" descr="Гиперссылка на веб-страницу о функции МАКСЕСЛИМН&#10;&#10;">
          <a:hlinkClick xmlns:r="http://schemas.openxmlformats.org/officeDocument/2006/relationships" r:id="rId8" tooltip="Подробные сведения о функции МАКСЕСЛИМН в Интернете"/>
          <a:extLst>
            <a:ext uri="{FF2B5EF4-FFF2-40B4-BE49-F238E27FC236}">
              <a16:creationId xmlns:a16="http://schemas.microsoft.com/office/drawing/2014/main" id="{3FFDC6A0-9831-442E-AB6B-F06D71AAAD14}"/>
            </a:ext>
          </a:extLst>
        </xdr:cNvPr>
        <xdr:cNvSpPr txBox="1"/>
      </xdr:nvSpPr>
      <xdr:spPr>
        <a:xfrm>
          <a:off x="3723166" y="31032055"/>
          <a:ext cx="2269864" cy="3169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Все о функции </a:t>
          </a:r>
          <a:r>
            <a:rPr lang="ru" sz="1100" b="1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МАКСЕСЛИМН</a:t>
          </a:r>
        </a:p>
      </xdr:txBody>
    </xdr:sp>
    <xdr:clientData/>
  </xdr:twoCellAnchor>
  <xdr:twoCellAnchor editAs="absolute">
    <xdr:from>
      <xdr:col>1</xdr:col>
      <xdr:colOff>2410256</xdr:colOff>
      <xdr:row>159</xdr:row>
      <xdr:rowOff>29246</xdr:rowOff>
    </xdr:from>
    <xdr:to>
      <xdr:col>1</xdr:col>
      <xdr:colOff>2904988</xdr:colOff>
      <xdr:row>161</xdr:row>
      <xdr:rowOff>96450</xdr:rowOff>
    </xdr:to>
    <xdr:pic>
      <xdr:nvPicPr>
        <xdr:cNvPr id="182" name="Графический объект 22" descr="Стрелка">
          <a:hlinkClick xmlns:r="http://schemas.openxmlformats.org/officeDocument/2006/relationships" r:id="rId8" tooltip="Дополнительные сведения в Интернете"/>
          <a:extLst>
            <a:ext uri="{FF2B5EF4-FFF2-40B4-BE49-F238E27FC236}">
              <a16:creationId xmlns:a16="http://schemas.microsoft.com/office/drawing/2014/main" id="{0312C5D5-9BED-4058-BA8F-27C33BF6E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57981" y="30966446"/>
          <a:ext cx="494732" cy="448204"/>
        </a:xfrm>
        <a:prstGeom prst="rect">
          <a:avLst/>
        </a:prstGeom>
      </xdr:spPr>
    </xdr:pic>
    <xdr:clientData/>
  </xdr:twoCellAnchor>
  <xdr:twoCellAnchor editAs="absolute">
    <xdr:from>
      <xdr:col>1</xdr:col>
      <xdr:colOff>2875441</xdr:colOff>
      <xdr:row>157</xdr:row>
      <xdr:rowOff>42468</xdr:rowOff>
    </xdr:from>
    <xdr:to>
      <xdr:col>1</xdr:col>
      <xdr:colOff>5355907</xdr:colOff>
      <xdr:row>158</xdr:row>
      <xdr:rowOff>168954</xdr:rowOff>
    </xdr:to>
    <xdr:sp macro="" textlink="">
      <xdr:nvSpPr>
        <xdr:cNvPr id="183" name="Шаг" descr="Гиперссылка на веб-страницу о функции СРЗНАЧЕСЛИМН&#10;&#10;">
          <a:hlinkClick xmlns:r="http://schemas.openxmlformats.org/officeDocument/2006/relationships" r:id="rId9" tooltip="Подробные сведения о функции СРЗНАЧЕСЛИМН в Интернете"/>
          <a:extLst>
            <a:ext uri="{FF2B5EF4-FFF2-40B4-BE49-F238E27FC236}">
              <a16:creationId xmlns:a16="http://schemas.microsoft.com/office/drawing/2014/main" id="{5979CD87-1D2E-4D32-BF44-CE7F4285B790}"/>
            </a:ext>
          </a:extLst>
        </xdr:cNvPr>
        <xdr:cNvSpPr txBox="1"/>
      </xdr:nvSpPr>
      <xdr:spPr>
        <a:xfrm>
          <a:off x="3723166" y="30598668"/>
          <a:ext cx="2480466" cy="3169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Все о функции </a:t>
          </a:r>
          <a:r>
            <a:rPr lang="ru" sz="1100" b="1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СРЗНАЧЕСЛИМН</a:t>
          </a:r>
        </a:p>
      </xdr:txBody>
    </xdr:sp>
    <xdr:clientData/>
  </xdr:twoCellAnchor>
  <xdr:twoCellAnchor editAs="absolute">
    <xdr:from>
      <xdr:col>1</xdr:col>
      <xdr:colOff>2410256</xdr:colOff>
      <xdr:row>156</xdr:row>
      <xdr:rowOff>167359</xdr:rowOff>
    </xdr:from>
    <xdr:to>
      <xdr:col>1</xdr:col>
      <xdr:colOff>2904988</xdr:colOff>
      <xdr:row>159</xdr:row>
      <xdr:rowOff>44063</xdr:rowOff>
    </xdr:to>
    <xdr:pic>
      <xdr:nvPicPr>
        <xdr:cNvPr id="184" name="Графический объект 22" descr="Стрелка">
          <a:hlinkClick xmlns:r="http://schemas.openxmlformats.org/officeDocument/2006/relationships" r:id="rId9" tooltip="Дополнительные сведения в Интернете"/>
          <a:extLst>
            <a:ext uri="{FF2B5EF4-FFF2-40B4-BE49-F238E27FC236}">
              <a16:creationId xmlns:a16="http://schemas.microsoft.com/office/drawing/2014/main" id="{4AE4B0D7-E242-4BB1-872C-53A3C6F0E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57981" y="30533059"/>
          <a:ext cx="494732" cy="448204"/>
        </a:xfrm>
        <a:prstGeom prst="rect">
          <a:avLst/>
        </a:prstGeom>
      </xdr:spPr>
    </xdr:pic>
    <xdr:clientData/>
  </xdr:twoCellAnchor>
  <xdr:twoCellAnchor editAs="absolute">
    <xdr:from>
      <xdr:col>1</xdr:col>
      <xdr:colOff>103666</xdr:colOff>
      <xdr:row>157</xdr:row>
      <xdr:rowOff>42468</xdr:rowOff>
    </xdr:from>
    <xdr:to>
      <xdr:col>1</xdr:col>
      <xdr:colOff>2459685</xdr:colOff>
      <xdr:row>158</xdr:row>
      <xdr:rowOff>168954</xdr:rowOff>
    </xdr:to>
    <xdr:sp macro="" textlink="">
      <xdr:nvSpPr>
        <xdr:cNvPr id="185" name="Шаг" descr="Гиперссылка на веб-страницу о функции СРЗНАЧЕСЛИ&#10;&#10;">
          <a:hlinkClick xmlns:r="http://schemas.openxmlformats.org/officeDocument/2006/relationships" r:id="rId10" tooltip="Подробные сведения о функции СРЗНАЧЕСЛИ в Интернете"/>
          <a:extLst>
            <a:ext uri="{FF2B5EF4-FFF2-40B4-BE49-F238E27FC236}">
              <a16:creationId xmlns:a16="http://schemas.microsoft.com/office/drawing/2014/main" id="{9FF9239A-F102-47F3-A0A3-68BDFAFB9C67}"/>
            </a:ext>
          </a:extLst>
        </xdr:cNvPr>
        <xdr:cNvSpPr txBox="1"/>
      </xdr:nvSpPr>
      <xdr:spPr>
        <a:xfrm>
          <a:off x="951391" y="30598668"/>
          <a:ext cx="2356019" cy="3169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Все о функции </a:t>
          </a:r>
          <a:r>
            <a:rPr lang="ru" sz="1100" b="1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СРЗНАЧЕСЛИ</a:t>
          </a:r>
        </a:p>
      </xdr:txBody>
    </xdr:sp>
    <xdr:clientData/>
  </xdr:twoCellAnchor>
  <xdr:twoCellAnchor editAs="absolute">
    <xdr:from>
      <xdr:col>0</xdr:col>
      <xdr:colOff>486206</xdr:colOff>
      <xdr:row>156</xdr:row>
      <xdr:rowOff>164977</xdr:rowOff>
    </xdr:from>
    <xdr:to>
      <xdr:col>1</xdr:col>
      <xdr:colOff>133213</xdr:colOff>
      <xdr:row>159</xdr:row>
      <xdr:rowOff>41681</xdr:rowOff>
    </xdr:to>
    <xdr:pic>
      <xdr:nvPicPr>
        <xdr:cNvPr id="186" name="Графический объект 22" descr="Стрелка">
          <a:hlinkClick xmlns:r="http://schemas.openxmlformats.org/officeDocument/2006/relationships" r:id="rId10" tooltip="Дополнительные сведения в Интернете"/>
          <a:extLst>
            <a:ext uri="{FF2B5EF4-FFF2-40B4-BE49-F238E27FC236}">
              <a16:creationId xmlns:a16="http://schemas.microsoft.com/office/drawing/2014/main" id="{0BF07D7D-A138-4ADB-BA72-859640FE1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86206" y="30530677"/>
          <a:ext cx="494732" cy="448204"/>
        </a:xfrm>
        <a:prstGeom prst="rect">
          <a:avLst/>
        </a:prstGeom>
      </xdr:spPr>
    </xdr:pic>
    <xdr:clientData/>
  </xdr:twoCellAnchor>
  <xdr:twoCellAnchor editAs="absolute">
    <xdr:from>
      <xdr:col>1</xdr:col>
      <xdr:colOff>103665</xdr:colOff>
      <xdr:row>159</xdr:row>
      <xdr:rowOff>94855</xdr:rowOff>
    </xdr:from>
    <xdr:to>
      <xdr:col>1</xdr:col>
      <xdr:colOff>2258656</xdr:colOff>
      <xdr:row>161</xdr:row>
      <xdr:rowOff>30841</xdr:rowOff>
    </xdr:to>
    <xdr:sp macro="" textlink="">
      <xdr:nvSpPr>
        <xdr:cNvPr id="187" name="Шаг" descr="Гиперссылка на веб-страницу о функции МИНЕСЛИМН&#10;&#10;">
          <a:hlinkClick xmlns:r="http://schemas.openxmlformats.org/officeDocument/2006/relationships" r:id="rId11" tooltip="Подробные сведения о функции МИНЕСЛИМН в Интернете"/>
          <a:extLst>
            <a:ext uri="{FF2B5EF4-FFF2-40B4-BE49-F238E27FC236}">
              <a16:creationId xmlns:a16="http://schemas.microsoft.com/office/drawing/2014/main" id="{5BA88C28-4CAB-4843-A9C6-0DA18559CEDE}"/>
            </a:ext>
          </a:extLst>
        </xdr:cNvPr>
        <xdr:cNvSpPr txBox="1"/>
      </xdr:nvSpPr>
      <xdr:spPr>
        <a:xfrm>
          <a:off x="951390" y="31032055"/>
          <a:ext cx="2154991" cy="3169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Все о функции </a:t>
          </a:r>
          <a:r>
            <a:rPr lang="ru" sz="1100" b="1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МИНЕСЛИМН</a:t>
          </a:r>
        </a:p>
      </xdr:txBody>
    </xdr:sp>
    <xdr:clientData/>
  </xdr:twoCellAnchor>
  <xdr:twoCellAnchor editAs="absolute">
    <xdr:from>
      <xdr:col>0</xdr:col>
      <xdr:colOff>486206</xdr:colOff>
      <xdr:row>159</xdr:row>
      <xdr:rowOff>20911</xdr:rowOff>
    </xdr:from>
    <xdr:to>
      <xdr:col>1</xdr:col>
      <xdr:colOff>133213</xdr:colOff>
      <xdr:row>161</xdr:row>
      <xdr:rowOff>88115</xdr:rowOff>
    </xdr:to>
    <xdr:pic>
      <xdr:nvPicPr>
        <xdr:cNvPr id="188" name="Графический объект 22" descr="Стрелка">
          <a:hlinkClick xmlns:r="http://schemas.openxmlformats.org/officeDocument/2006/relationships" r:id="rId11" tooltip="Дополнительные сведения в Интернете"/>
          <a:extLst>
            <a:ext uri="{FF2B5EF4-FFF2-40B4-BE49-F238E27FC236}">
              <a16:creationId xmlns:a16="http://schemas.microsoft.com/office/drawing/2014/main" id="{62494F7F-FF74-4EDC-AECB-91C2A1BA7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86206" y="30958111"/>
          <a:ext cx="494732" cy="448204"/>
        </a:xfrm>
        <a:prstGeom prst="rect">
          <a:avLst/>
        </a:prstGeom>
      </xdr:spPr>
    </xdr:pic>
    <xdr:clientData/>
  </xdr:twoCellAnchor>
  <xdr:twoCellAnchor editAs="absolute">
    <xdr:from>
      <xdr:col>1</xdr:col>
      <xdr:colOff>2875441</xdr:colOff>
      <xdr:row>154</xdr:row>
      <xdr:rowOff>190105</xdr:rowOff>
    </xdr:from>
    <xdr:to>
      <xdr:col>1</xdr:col>
      <xdr:colOff>5212315</xdr:colOff>
      <xdr:row>156</xdr:row>
      <xdr:rowOff>126091</xdr:rowOff>
    </xdr:to>
    <xdr:sp macro="" textlink="">
      <xdr:nvSpPr>
        <xdr:cNvPr id="189" name="Шаг" descr="Гиперссылка на веб-страницу о функции СЧЁТЕСЛИМН&#10;&#10;">
          <a:hlinkClick xmlns:r="http://schemas.openxmlformats.org/officeDocument/2006/relationships" r:id="rId12" tooltip="Подробные сведения о функции СЧЁТЕСЛИМН в Интернете"/>
          <a:extLst>
            <a:ext uri="{FF2B5EF4-FFF2-40B4-BE49-F238E27FC236}">
              <a16:creationId xmlns:a16="http://schemas.microsoft.com/office/drawing/2014/main" id="{EADD320D-BECB-4510-A526-402BC7B8CE52}"/>
            </a:ext>
          </a:extLst>
        </xdr:cNvPr>
        <xdr:cNvSpPr txBox="1"/>
      </xdr:nvSpPr>
      <xdr:spPr>
        <a:xfrm>
          <a:off x="3723166" y="30174805"/>
          <a:ext cx="2336874" cy="3169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Все о функции </a:t>
          </a:r>
          <a:r>
            <a:rPr lang="ru" sz="1100" b="1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СЧЁТЕСЛИМН</a:t>
          </a:r>
        </a:p>
      </xdr:txBody>
    </xdr:sp>
    <xdr:clientData/>
  </xdr:twoCellAnchor>
  <xdr:twoCellAnchor editAs="absolute">
    <xdr:from>
      <xdr:col>1</xdr:col>
      <xdr:colOff>2410256</xdr:colOff>
      <xdr:row>154</xdr:row>
      <xdr:rowOff>124496</xdr:rowOff>
    </xdr:from>
    <xdr:to>
      <xdr:col>1</xdr:col>
      <xdr:colOff>2904988</xdr:colOff>
      <xdr:row>157</xdr:row>
      <xdr:rowOff>1200</xdr:rowOff>
    </xdr:to>
    <xdr:pic>
      <xdr:nvPicPr>
        <xdr:cNvPr id="190" name="Графический объект 22" descr="Стрелка">
          <a:hlinkClick xmlns:r="http://schemas.openxmlformats.org/officeDocument/2006/relationships" r:id="rId12" tooltip="Дополнительные сведения в Интернете"/>
          <a:extLst>
            <a:ext uri="{FF2B5EF4-FFF2-40B4-BE49-F238E27FC236}">
              <a16:creationId xmlns:a16="http://schemas.microsoft.com/office/drawing/2014/main" id="{FAA7F95B-5D2C-47C5-B0BA-4E44FFE42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57981" y="30109196"/>
          <a:ext cx="494732" cy="448204"/>
        </a:xfrm>
        <a:prstGeom prst="rect">
          <a:avLst/>
        </a:prstGeom>
      </xdr:spPr>
    </xdr:pic>
    <xdr:clientData/>
  </xdr:twoCellAnchor>
  <xdr:twoCellAnchor editAs="absolute">
    <xdr:from>
      <xdr:col>1</xdr:col>
      <xdr:colOff>2875441</xdr:colOff>
      <xdr:row>152</xdr:row>
      <xdr:rowOff>137718</xdr:rowOff>
    </xdr:from>
    <xdr:to>
      <xdr:col>1</xdr:col>
      <xdr:colOff>5191125</xdr:colOff>
      <xdr:row>154</xdr:row>
      <xdr:rowOff>73704</xdr:rowOff>
    </xdr:to>
    <xdr:sp macro="" textlink="">
      <xdr:nvSpPr>
        <xdr:cNvPr id="191" name="Шаг" descr="Гиперссылка на веб-страницу о функции СУММЕСЛИМН&#10;&#10;">
          <a:hlinkClick xmlns:r="http://schemas.openxmlformats.org/officeDocument/2006/relationships" r:id="rId13" tooltip="Подробные сведения о функции СУММЕСЛИМН в Интернете"/>
          <a:extLst>
            <a:ext uri="{FF2B5EF4-FFF2-40B4-BE49-F238E27FC236}">
              <a16:creationId xmlns:a16="http://schemas.microsoft.com/office/drawing/2014/main" id="{791E8E89-8DEE-430C-AEDB-E56F74AA279F}"/>
            </a:ext>
          </a:extLst>
        </xdr:cNvPr>
        <xdr:cNvSpPr txBox="1"/>
      </xdr:nvSpPr>
      <xdr:spPr>
        <a:xfrm>
          <a:off x="3723166" y="29741418"/>
          <a:ext cx="2315684" cy="3169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Все о функции </a:t>
          </a:r>
          <a:r>
            <a:rPr lang="ru" sz="1100" b="1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СУММЕСЛИМН</a:t>
          </a:r>
        </a:p>
      </xdr:txBody>
    </xdr:sp>
    <xdr:clientData/>
  </xdr:twoCellAnchor>
  <xdr:twoCellAnchor editAs="absolute">
    <xdr:from>
      <xdr:col>1</xdr:col>
      <xdr:colOff>2410256</xdr:colOff>
      <xdr:row>152</xdr:row>
      <xdr:rowOff>72109</xdr:rowOff>
    </xdr:from>
    <xdr:to>
      <xdr:col>1</xdr:col>
      <xdr:colOff>2904988</xdr:colOff>
      <xdr:row>154</xdr:row>
      <xdr:rowOff>139313</xdr:rowOff>
    </xdr:to>
    <xdr:pic>
      <xdr:nvPicPr>
        <xdr:cNvPr id="192" name="Графический объект 22" descr="Стрелка">
          <a:hlinkClick xmlns:r="http://schemas.openxmlformats.org/officeDocument/2006/relationships" r:id="rId13" tooltip="Дополнительные сведения в Интернете"/>
          <a:extLst>
            <a:ext uri="{FF2B5EF4-FFF2-40B4-BE49-F238E27FC236}">
              <a16:creationId xmlns:a16="http://schemas.microsoft.com/office/drawing/2014/main" id="{C5A41188-397A-4F2F-B7D0-DBBCCE404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57981" y="29675809"/>
          <a:ext cx="494732" cy="448204"/>
        </a:xfrm>
        <a:prstGeom prst="rect">
          <a:avLst/>
        </a:prstGeom>
      </xdr:spPr>
    </xdr:pic>
    <xdr:clientData/>
  </xdr:twoCellAnchor>
  <xdr:twoCellAnchor editAs="absolute">
    <xdr:from>
      <xdr:col>1</xdr:col>
      <xdr:colOff>103666</xdr:colOff>
      <xdr:row>152</xdr:row>
      <xdr:rowOff>137718</xdr:rowOff>
    </xdr:from>
    <xdr:to>
      <xdr:col>1</xdr:col>
      <xdr:colOff>2143784</xdr:colOff>
      <xdr:row>154</xdr:row>
      <xdr:rowOff>73704</xdr:rowOff>
    </xdr:to>
    <xdr:sp macro="" textlink="">
      <xdr:nvSpPr>
        <xdr:cNvPr id="193" name="Шаг" descr="Гиперссылка на веб-страницу о функции СУММЕСЛИ&#10;&#10;">
          <a:hlinkClick xmlns:r="http://schemas.openxmlformats.org/officeDocument/2006/relationships" r:id="rId14" tooltip="Подробные сведения о функции СУММЕСЛИ в Интернете"/>
          <a:extLst>
            <a:ext uri="{FF2B5EF4-FFF2-40B4-BE49-F238E27FC236}">
              <a16:creationId xmlns:a16="http://schemas.microsoft.com/office/drawing/2014/main" id="{EAC8BE16-FCC7-483A-A30D-3B1F29F65450}"/>
            </a:ext>
          </a:extLst>
        </xdr:cNvPr>
        <xdr:cNvSpPr txBox="1"/>
      </xdr:nvSpPr>
      <xdr:spPr>
        <a:xfrm>
          <a:off x="951391" y="29741418"/>
          <a:ext cx="2040118" cy="3169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Все о функции </a:t>
          </a:r>
          <a:r>
            <a:rPr lang="ru" sz="1100" b="1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СУММЕСЛИ</a:t>
          </a:r>
        </a:p>
      </xdr:txBody>
    </xdr:sp>
    <xdr:clientData/>
  </xdr:twoCellAnchor>
  <xdr:twoCellAnchor editAs="absolute">
    <xdr:from>
      <xdr:col>0</xdr:col>
      <xdr:colOff>486206</xdr:colOff>
      <xdr:row>152</xdr:row>
      <xdr:rowOff>72109</xdr:rowOff>
    </xdr:from>
    <xdr:to>
      <xdr:col>1</xdr:col>
      <xdr:colOff>133213</xdr:colOff>
      <xdr:row>154</xdr:row>
      <xdr:rowOff>139313</xdr:rowOff>
    </xdr:to>
    <xdr:pic>
      <xdr:nvPicPr>
        <xdr:cNvPr id="194" name="Графический объект 22" descr="Стрелка">
          <a:hlinkClick xmlns:r="http://schemas.openxmlformats.org/officeDocument/2006/relationships" r:id="rId14" tooltip="Дополнительные сведения в Интернете"/>
          <a:extLst>
            <a:ext uri="{FF2B5EF4-FFF2-40B4-BE49-F238E27FC236}">
              <a16:creationId xmlns:a16="http://schemas.microsoft.com/office/drawing/2014/main" id="{45F9CDAC-0421-4A99-A231-CE8000724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86206" y="29675809"/>
          <a:ext cx="494732" cy="448204"/>
        </a:xfrm>
        <a:prstGeom prst="rect">
          <a:avLst/>
        </a:prstGeom>
      </xdr:spPr>
    </xdr:pic>
    <xdr:clientData/>
  </xdr:twoCellAnchor>
  <xdr:twoCellAnchor editAs="absolute">
    <xdr:from>
      <xdr:col>1</xdr:col>
      <xdr:colOff>103666</xdr:colOff>
      <xdr:row>154</xdr:row>
      <xdr:rowOff>190105</xdr:rowOff>
    </xdr:from>
    <xdr:to>
      <xdr:col>1</xdr:col>
      <xdr:colOff>2316094</xdr:colOff>
      <xdr:row>156</xdr:row>
      <xdr:rowOff>126091</xdr:rowOff>
    </xdr:to>
    <xdr:sp macro="" textlink="">
      <xdr:nvSpPr>
        <xdr:cNvPr id="195" name="Шаг" descr="Гиперссылка на веб-страницу о функции СЧЁТЕСЛИ&#10;&#10;">
          <a:hlinkClick xmlns:r="http://schemas.openxmlformats.org/officeDocument/2006/relationships" r:id="rId15" tooltip="Подробные сведения о функции СЧЁТЕСЛИ в Интернете"/>
          <a:extLst>
            <a:ext uri="{FF2B5EF4-FFF2-40B4-BE49-F238E27FC236}">
              <a16:creationId xmlns:a16="http://schemas.microsoft.com/office/drawing/2014/main" id="{C6912341-001C-497C-904C-1E09825E8C65}"/>
            </a:ext>
          </a:extLst>
        </xdr:cNvPr>
        <xdr:cNvSpPr txBox="1"/>
      </xdr:nvSpPr>
      <xdr:spPr>
        <a:xfrm>
          <a:off x="951391" y="30174805"/>
          <a:ext cx="2212428" cy="3169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Все о функции </a:t>
          </a:r>
          <a:r>
            <a:rPr lang="ru" sz="1100" b="1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СЧЁТЕСЛИ</a:t>
          </a:r>
        </a:p>
      </xdr:txBody>
    </xdr:sp>
    <xdr:clientData/>
  </xdr:twoCellAnchor>
  <xdr:twoCellAnchor editAs="absolute">
    <xdr:from>
      <xdr:col>0</xdr:col>
      <xdr:colOff>486206</xdr:colOff>
      <xdr:row>154</xdr:row>
      <xdr:rowOff>118543</xdr:rowOff>
    </xdr:from>
    <xdr:to>
      <xdr:col>1</xdr:col>
      <xdr:colOff>133213</xdr:colOff>
      <xdr:row>156</xdr:row>
      <xdr:rowOff>185747</xdr:rowOff>
    </xdr:to>
    <xdr:pic>
      <xdr:nvPicPr>
        <xdr:cNvPr id="196" name="Графический объект 22" descr="Стрелка">
          <a:hlinkClick xmlns:r="http://schemas.openxmlformats.org/officeDocument/2006/relationships" r:id="rId15" tooltip="Дополнительные сведения в Интернете"/>
          <a:extLst>
            <a:ext uri="{FF2B5EF4-FFF2-40B4-BE49-F238E27FC236}">
              <a16:creationId xmlns:a16="http://schemas.microsoft.com/office/drawing/2014/main" id="{B19BEEB5-AD6A-49CD-BF7B-42649EF8A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86206" y="30103243"/>
          <a:ext cx="494732" cy="448204"/>
        </a:xfrm>
        <a:prstGeom prst="rect">
          <a:avLst/>
        </a:prstGeom>
      </xdr:spPr>
    </xdr:pic>
    <xdr:clientData/>
  </xdr:twoCellAnchor>
  <xdr:twoCellAnchor editAs="absolute">
    <xdr:from>
      <xdr:col>1</xdr:col>
      <xdr:colOff>103665</xdr:colOff>
      <xdr:row>161</xdr:row>
      <xdr:rowOff>132954</xdr:rowOff>
    </xdr:from>
    <xdr:to>
      <xdr:col>1</xdr:col>
      <xdr:colOff>2162174</xdr:colOff>
      <xdr:row>163</xdr:row>
      <xdr:rowOff>190499</xdr:rowOff>
    </xdr:to>
    <xdr:sp macro="" textlink="">
      <xdr:nvSpPr>
        <xdr:cNvPr id="197" name="Шаг" descr="Гиперссылка на веб-страницу  «Создание раскрывающегося списка»&#10;&#10;">
          <a:hlinkClick xmlns:r="http://schemas.openxmlformats.org/officeDocument/2006/relationships" r:id="rId16" tooltip="Подробные сведения в Интернете о создании раскрывающегося списка"/>
          <a:extLst>
            <a:ext uri="{FF2B5EF4-FFF2-40B4-BE49-F238E27FC236}">
              <a16:creationId xmlns:a16="http://schemas.microsoft.com/office/drawing/2014/main" id="{0E1FD4BB-1B69-400F-9A73-D9D7B8667E1C}"/>
            </a:ext>
          </a:extLst>
        </xdr:cNvPr>
        <xdr:cNvSpPr txBox="1"/>
      </xdr:nvSpPr>
      <xdr:spPr>
        <a:xfrm>
          <a:off x="951390" y="31451154"/>
          <a:ext cx="2058509" cy="4385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ru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Создание раскрывающегося списка</a:t>
          </a:r>
        </a:p>
      </xdr:txBody>
    </xdr:sp>
    <xdr:clientData/>
  </xdr:twoCellAnchor>
  <xdr:twoCellAnchor editAs="absolute">
    <xdr:from>
      <xdr:col>0</xdr:col>
      <xdr:colOff>486206</xdr:colOff>
      <xdr:row>161</xdr:row>
      <xdr:rowOff>67346</xdr:rowOff>
    </xdr:from>
    <xdr:to>
      <xdr:col>1</xdr:col>
      <xdr:colOff>133213</xdr:colOff>
      <xdr:row>163</xdr:row>
      <xdr:rowOff>134550</xdr:rowOff>
    </xdr:to>
    <xdr:pic>
      <xdr:nvPicPr>
        <xdr:cNvPr id="198" name="Графический объект 22" descr="Стрелка">
          <a:hlinkClick xmlns:r="http://schemas.openxmlformats.org/officeDocument/2006/relationships" r:id="rId16" tooltip="Дополнительные сведения в Интернете"/>
          <a:extLst>
            <a:ext uri="{FF2B5EF4-FFF2-40B4-BE49-F238E27FC236}">
              <a16:creationId xmlns:a16="http://schemas.microsoft.com/office/drawing/2014/main" id="{66C373A0-3E96-4B8D-BE49-6F426671C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86206" y="31385546"/>
          <a:ext cx="494732" cy="448204"/>
        </a:xfrm>
        <a:prstGeom prst="rect">
          <a:avLst/>
        </a:prstGeom>
      </xdr:spPr>
    </xdr:pic>
    <xdr:clientData/>
  </xdr:twoCellAnchor>
  <xdr:twoCellAnchor editAs="absolute">
    <xdr:from>
      <xdr:col>0</xdr:col>
      <xdr:colOff>523788</xdr:colOff>
      <xdr:row>25</xdr:row>
      <xdr:rowOff>9525</xdr:rowOff>
    </xdr:from>
    <xdr:to>
      <xdr:col>1</xdr:col>
      <xdr:colOff>4915231</xdr:colOff>
      <xdr:row>31</xdr:row>
      <xdr:rowOff>95250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5F83CBBA-90B0-4EB0-9AB8-57CF000EADA5}"/>
            </a:ext>
          </a:extLst>
        </xdr:cNvPr>
        <xdr:cNvGrpSpPr/>
      </xdr:nvGrpSpPr>
      <xdr:grpSpPr>
        <a:xfrm>
          <a:off x="523788" y="5343525"/>
          <a:ext cx="5239168" cy="1228725"/>
          <a:chOff x="571500" y="4610100"/>
          <a:chExt cx="5229626" cy="1228725"/>
        </a:xfrm>
      </xdr:grpSpPr>
      <xdr:sp macro="" textlink="">
        <xdr:nvSpPr>
          <xdr:cNvPr id="200" name="текст_Шаг" descr="Функция СУММЕСЛИМН похожа на функцию СУММЕСЛИ, но позволяет задавать несколько условий. Например, в этом примере можно искать значения по столбцам «Фрукт» и «Сорт», а не только по столбцу «Фрукт». Выберите ячейку H17 и введите =СУММЕСЛИМН(H3:H14;F3:F14;F17;G3:G14;G17). Функция СУММЕСЛИМН имеет следующий синтаксис:&#10;&#10;&#10;">
            <a:extLst>
              <a:ext uri="{FF2B5EF4-FFF2-40B4-BE49-F238E27FC236}">
                <a16:creationId xmlns:a16="http://schemas.microsoft.com/office/drawing/2014/main" id="{4F912E6F-F743-47DF-85DF-3039C56B3212}"/>
              </a:ext>
            </a:extLst>
          </xdr:cNvPr>
          <xdr:cNvSpPr txBox="1"/>
        </xdr:nvSpPr>
        <xdr:spPr>
          <a:xfrm>
            <a:off x="991382" y="4652058"/>
            <a:ext cx="4809744" cy="1186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Функция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СУММЕСЛИМН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похожа на функцию СУММЕСЛИ, но позволяет задавать несколько условий. Например, в этом примере можно искать значения по столбцам «Фрукт» и «Сорт», а не только по столбцу «Фрукт». Выберите ячейку H17 и введите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=СУММЕСЛИМН(H3:H14;F3:F14;F17;G3:G14;G17)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 Функция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СУММЕСЛИМН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имеет следующий синтаксис: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201" name="фигура_Шаг" descr="2">
            <a:extLst>
              <a:ext uri="{FF2B5EF4-FFF2-40B4-BE49-F238E27FC236}">
                <a16:creationId xmlns:a16="http://schemas.microsoft.com/office/drawing/2014/main" id="{1D52C7D7-6054-4019-A8DF-A592149208E6}"/>
              </a:ext>
            </a:extLst>
          </xdr:cNvPr>
          <xdr:cNvSpPr/>
        </xdr:nvSpPr>
        <xdr:spPr>
          <a:xfrm>
            <a:off x="571500" y="4610100"/>
            <a:ext cx="374621" cy="366863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2</a:t>
            </a:r>
          </a:p>
        </xdr:txBody>
      </xdr:sp>
    </xdr:grpSp>
    <xdr:clientData/>
  </xdr:twoCellAnchor>
  <xdr:twoCellAnchor editAs="absolute">
    <xdr:from>
      <xdr:col>0</xdr:col>
      <xdr:colOff>361949</xdr:colOff>
      <xdr:row>125</xdr:row>
      <xdr:rowOff>114299</xdr:rowOff>
    </xdr:from>
    <xdr:to>
      <xdr:col>1</xdr:col>
      <xdr:colOff>5238749</xdr:colOff>
      <xdr:row>148</xdr:row>
      <xdr:rowOff>16799</xdr:rowOff>
    </xdr:to>
    <xdr:grpSp>
      <xdr:nvGrpSpPr>
        <xdr:cNvPr id="202" name="Дополнительные сведения о функции СУММЕСЛИ" descr="Дополнительные сведения о функции СУММ &#10;С помощью нескольких описанных выше советов вы научились использовать функцию СУММ. Рассмотрим &#10;ее немного подробнее. Дважды щелкните желтую ячейку справа. Параллельно читайте приведенный ниже текст. &#10;Если бы функция СУММ могла говорить, вот что бы она сказала: &#10;Просуммируйте следующее: ...значения в &#10;ячейках D38, D39, D40 и 041. &#10;=СУММ(D38:D41) &#10;Вот еще один способ использования этой функции. &#10;Просуммируйте следующее: ...значение в ячейке 049, ...значения в ячейках G48, G49, G50 и G51, ...и 100&#10;=СУММ(D48;G48:G51;100) &#10;В формуле выше используются перечисленные ниже компоненты. &#10;Ссылка на отдельную ячейку, представляющая собой ее адрес или имя. D48 — этой ссылка на отдельную ячейку в приведенной выше формуле. &#10;Диапазон ячеек, который представляет собой ряд ячеек, начинающийся одной и заканчивающийся другой ячейкой. &#10;G48:G51 — диапазон ячеек в этой формуле. &#10;Константа. В этой формуле константа — число 100.">
          <a:extLst>
            <a:ext uri="{FF2B5EF4-FFF2-40B4-BE49-F238E27FC236}">
              <a16:creationId xmlns:a16="http://schemas.microsoft.com/office/drawing/2014/main" id="{B8E178DB-194F-437D-A671-57E96B94B0C8}"/>
            </a:ext>
          </a:extLst>
        </xdr:cNvPr>
        <xdr:cNvGrpSpPr/>
      </xdr:nvGrpSpPr>
      <xdr:grpSpPr>
        <a:xfrm>
          <a:off x="361949" y="24574499"/>
          <a:ext cx="5724525" cy="4284000"/>
          <a:chOff x="347872" y="13364012"/>
          <a:chExt cx="5695950" cy="4284000"/>
        </a:xfrm>
      </xdr:grpSpPr>
      <xdr:sp macro="" textlink="">
        <xdr:nvSpPr>
          <xdr:cNvPr id="203" name="Прямоугольник 202" descr="Фон">
            <a:extLst>
              <a:ext uri="{FF2B5EF4-FFF2-40B4-BE49-F238E27FC236}">
                <a16:creationId xmlns:a16="http://schemas.microsoft.com/office/drawing/2014/main" id="{511D36F9-540E-473D-938B-915FC423BB65}"/>
              </a:ext>
            </a:extLst>
          </xdr:cNvPr>
          <xdr:cNvSpPr/>
        </xdr:nvSpPr>
        <xdr:spPr>
          <a:xfrm>
            <a:off x="347872" y="13364012"/>
            <a:ext cx="5695950" cy="4284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/>
          </a:p>
        </xdr:txBody>
      </xdr:sp>
      <xdr:cxnSp macro="">
        <xdr:nvCxnSpPr>
          <xdr:cNvPr id="204" name="Прямая соединительная линия 203" descr="Декоративная линия">
            <a:extLst>
              <a:ext uri="{FF2B5EF4-FFF2-40B4-BE49-F238E27FC236}">
                <a16:creationId xmlns:a16="http://schemas.microsoft.com/office/drawing/2014/main" id="{8CE19759-2E0E-4B02-9036-C026578459EA}"/>
              </a:ext>
            </a:extLst>
          </xdr:cNvPr>
          <xdr:cNvCxnSpPr>
            <a:cxnSpLocks/>
          </xdr:cNvCxnSpPr>
        </xdr:nvCxnSpPr>
        <xdr:spPr>
          <a:xfrm>
            <a:off x="547944" y="14351434"/>
            <a:ext cx="52168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" name="Прямая соединительная линия 204" descr="Декоративная линия">
            <a:extLst>
              <a:ext uri="{FF2B5EF4-FFF2-40B4-BE49-F238E27FC236}">
                <a16:creationId xmlns:a16="http://schemas.microsoft.com/office/drawing/2014/main" id="{723D124C-02B5-4BA5-9E97-CD05528A4CEB}"/>
              </a:ext>
            </a:extLst>
          </xdr:cNvPr>
          <xdr:cNvCxnSpPr>
            <a:cxnSpLocks/>
          </xdr:cNvCxnSpPr>
        </xdr:nvCxnSpPr>
        <xdr:spPr>
          <a:xfrm>
            <a:off x="547944" y="17384933"/>
            <a:ext cx="52168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6" name="Шаг" descr="Функция СУММЕСЛИ с аргументом значения&#10;">
            <a:extLst>
              <a:ext uri="{FF2B5EF4-FFF2-40B4-BE49-F238E27FC236}">
                <a16:creationId xmlns:a16="http://schemas.microsoft.com/office/drawing/2014/main" id="{5235BA6D-D4C0-4535-80CC-C79544A0F77D}"/>
              </a:ext>
            </a:extLst>
          </xdr:cNvPr>
          <xdr:cNvSpPr txBox="1"/>
        </xdr:nvSpPr>
        <xdr:spPr>
          <a:xfrm>
            <a:off x="547944" y="13488151"/>
            <a:ext cx="4917755" cy="4935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Функция СУММЕСЛИ с аргументом значения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207" name="Шаг" descr="Вот пример использования функции СУММЕСЛИ с оператором «больше» для поиска всех значений, превышающих указанное:&#10;&#10;">
            <a:extLst>
              <a:ext uri="{FF2B5EF4-FFF2-40B4-BE49-F238E27FC236}">
                <a16:creationId xmlns:a16="http://schemas.microsoft.com/office/drawing/2014/main" id="{792313DA-1F40-48BD-8EAF-3D313D4FB9FC}"/>
              </a:ext>
            </a:extLst>
          </xdr:cNvPr>
          <xdr:cNvSpPr txBox="1"/>
        </xdr:nvSpPr>
        <xdr:spPr>
          <a:xfrm>
            <a:off x="553342" y="14438907"/>
            <a:ext cx="5303780" cy="1079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Вот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пример использования функции </a:t>
            </a:r>
            <a:r>
              <a:rPr lang="ru" sz="1100" b="1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СУММЕСЛИ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с оператором «больше» (</a:t>
            </a:r>
            <a:r>
              <a:rPr lang="ru" sz="1100" b="1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&gt;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) для поиска всех значений, превышающих указанное:</a:t>
            </a:r>
            <a:endParaRPr lang="en-US" sz="1100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208" name="Шаг" descr="ПРИМЕЧАНИЕ. Если вы часто применяете формулы СУММЕСЛИ, возможно, стоит воспользоваться сводной таблицей. Щелкните здесь, чтобы просмотреть статью о сводных таблицах&#10;">
            <a:hlinkClick xmlns:r="http://schemas.openxmlformats.org/officeDocument/2006/relationships" r:id="rId17" tooltip="Щелкните для перехода к листу, посвященному сводным таблицам"/>
            <a:extLst>
              <a:ext uri="{FF2B5EF4-FFF2-40B4-BE49-F238E27FC236}">
                <a16:creationId xmlns:a16="http://schemas.microsoft.com/office/drawing/2014/main" id="{34FB80A3-CAA8-4879-81AA-6C9C6DA04FF8}"/>
              </a:ext>
            </a:extLst>
          </xdr:cNvPr>
          <xdr:cNvSpPr txBox="1"/>
        </xdr:nvSpPr>
        <xdr:spPr>
          <a:xfrm>
            <a:off x="553342" y="16570297"/>
            <a:ext cx="5303780" cy="641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b="1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ПРИМЕЧАНИЕ. </a:t>
            </a:r>
            <a:r>
              <a:rPr lang="ru" sz="1100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Если вы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часто применяете условные формулы, возможно, стоит воспользоваться сводной таблицей. </a:t>
            </a:r>
            <a:r>
              <a:rPr lang="ru" sz="1100" u="sng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Дополнительные сведения см. в статье о сводных таблицах</a:t>
            </a:r>
            <a:r>
              <a:rPr lang="ru" sz="1100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</a:t>
            </a:r>
            <a:endParaRPr lang="en-US" sz="1100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209" name="Надпись 100" descr="=СУММЕСЛИ(D118:D122;&quot;&gt;50&quot;)&#10;&#10;&#10;">
            <a:extLst>
              <a:ext uri="{FF2B5EF4-FFF2-40B4-BE49-F238E27FC236}">
                <a16:creationId xmlns:a16="http://schemas.microsoft.com/office/drawing/2014/main" id="{081FEA47-A154-4881-BA88-6F77A1DA2820}"/>
              </a:ext>
            </a:extLst>
          </xdr:cNvPr>
          <xdr:cNvSpPr txBox="1"/>
        </xdr:nvSpPr>
        <xdr:spPr>
          <a:xfrm>
            <a:off x="541773" y="16001701"/>
            <a:ext cx="3966701" cy="5089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Ins="0" bIns="0" rtlCol="0" anchor="t"/>
          <a:lstStyle/>
          <a:p>
            <a:pPr marL="0" marR="0" rtl="0">
              <a:spcBef>
                <a:spcPts val="0"/>
              </a:spcBef>
              <a:spcAft>
                <a:spcPts val="0"/>
              </a:spcAft>
            </a:pPr>
            <a:r>
              <a:rPr lang="ru" sz="2000">
                <a:effectLst/>
                <a:latin typeface="Courier New" panose="02070309020205020404" pitchFamily="49" charset="0"/>
                <a:ea typeface="Times New Roman" panose="02020603050405020304" pitchFamily="18" charset="0"/>
                <a:cs typeface="Courier New" panose="02070309020205020404" pitchFamily="49" charset="0"/>
              </a:rPr>
              <a:t>=</a:t>
            </a:r>
            <a:r>
              <a:rPr lang="ru" sz="20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Times New Roman" panose="02020603050405020304" pitchFamily="18" charset="0"/>
                <a:cs typeface="Courier New" panose="02070309020205020404" pitchFamily="49" charset="0"/>
              </a:rPr>
              <a:t>СУММЕСЛИ(D118:D122;"&gt;</a:t>
            </a:r>
            <a:r>
              <a:rPr lang="ru" sz="2000">
                <a:effectLst/>
                <a:latin typeface="Courier New" panose="02070309020205020404" pitchFamily="49" charset="0"/>
                <a:ea typeface="Times New Roman" panose="02020603050405020304" pitchFamily="18" charset="0"/>
                <a:cs typeface="Courier New" panose="02070309020205020404" pitchFamily="49" charset="0"/>
              </a:rPr>
              <a:t>50")</a:t>
            </a:r>
          </a:p>
          <a:p>
            <a:pPr marL="0" marR="0" rtl="0">
              <a:spcBef>
                <a:spcPts val="0"/>
              </a:spcBef>
              <a:spcAft>
                <a:spcPts val="0"/>
              </a:spcAft>
            </a:pPr>
            <a:endParaRPr lang="en-US" sz="20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sp macro="" textlink="">
        <xdr:nvSpPr>
          <xdr:cNvPr id="210" name="Открывающая фигурная скобка 209">
            <a:extLst>
              <a:ext uri="{FF2B5EF4-FFF2-40B4-BE49-F238E27FC236}">
                <a16:creationId xmlns:a16="http://schemas.microsoft.com/office/drawing/2014/main" id="{D4198EE4-6DA5-4995-A5C3-297510D75CBC}"/>
              </a:ext>
            </a:extLst>
          </xdr:cNvPr>
          <xdr:cNvSpPr/>
        </xdr:nvSpPr>
        <xdr:spPr>
          <a:xfrm rot="5400000">
            <a:off x="1203147" y="15362895"/>
            <a:ext cx="197659" cy="1217890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211" name="Текстовое поле 2" descr="Сложить значения с учетом этого условия:&#10;">
            <a:extLst>
              <a:ext uri="{FF2B5EF4-FFF2-40B4-BE49-F238E27FC236}">
                <a16:creationId xmlns:a16="http://schemas.microsoft.com/office/drawing/2014/main" id="{68686DE4-CB48-4915-8A63-E98D9F67B388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4894" y="15023216"/>
            <a:ext cx="977785" cy="85165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Сложить значения с учетом этого условия:</a:t>
            </a:r>
          </a:p>
        </xdr:txBody>
      </xdr:sp>
      <xdr:sp macro="" textlink="">
        <xdr:nvSpPr>
          <xdr:cNvPr id="212" name="Открывающая фигурная скобка 211">
            <a:extLst>
              <a:ext uri="{FF2B5EF4-FFF2-40B4-BE49-F238E27FC236}">
                <a16:creationId xmlns:a16="http://schemas.microsoft.com/office/drawing/2014/main" id="{1F715516-41DD-4007-B4E1-F5219D7F5E3F}"/>
              </a:ext>
            </a:extLst>
          </xdr:cNvPr>
          <xdr:cNvSpPr/>
        </xdr:nvSpPr>
        <xdr:spPr>
          <a:xfrm rot="5400000">
            <a:off x="2568774" y="15276283"/>
            <a:ext cx="295280" cy="1328489"/>
          </a:xfrm>
          <a:prstGeom prst="leftBrace">
            <a:avLst>
              <a:gd name="adj1" fmla="val 8333"/>
              <a:gd name="adj2" fmla="val 49651"/>
            </a:avLst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213" name="Текстовое поле 2" descr="Просмотреть эти ячейки:&#10; &#10;">
            <a:extLst>
              <a:ext uri="{FF2B5EF4-FFF2-40B4-BE49-F238E27FC236}">
                <a16:creationId xmlns:a16="http://schemas.microsoft.com/office/drawing/2014/main" id="{85793BB1-60AB-4D75-A97F-587A5AAF3641}"/>
              </a:ext>
            </a:extLst>
          </xdr:cNvPr>
          <xdr:cNvSpPr txBox="1">
            <a:spLocks noChangeArrowheads="1"/>
          </xdr:cNvSpPr>
        </xdr:nvSpPr>
        <xdr:spPr bwMode="auto">
          <a:xfrm>
            <a:off x="2175856" y="15023502"/>
            <a:ext cx="1102580" cy="85165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Просмотреть эти ячейки:</a:t>
            </a:r>
          </a:p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 </a:t>
            </a:r>
          </a:p>
        </xdr:txBody>
      </xdr:sp>
      <xdr:sp macro="" textlink="">
        <xdr:nvSpPr>
          <xdr:cNvPr id="214" name="Открывающая фигурная скобка 213">
            <a:extLst>
              <a:ext uri="{FF2B5EF4-FFF2-40B4-BE49-F238E27FC236}">
                <a16:creationId xmlns:a16="http://schemas.microsoft.com/office/drawing/2014/main" id="{DDE8A4F2-7D99-42CD-BA7B-3FD932A6B224}"/>
              </a:ext>
            </a:extLst>
          </xdr:cNvPr>
          <xdr:cNvSpPr/>
        </xdr:nvSpPr>
        <xdr:spPr>
          <a:xfrm rot="5400000">
            <a:off x="3816568" y="15524213"/>
            <a:ext cx="271590" cy="808946"/>
          </a:xfrm>
          <a:prstGeom prst="leftBrace">
            <a:avLst>
              <a:gd name="adj1" fmla="val 15347"/>
              <a:gd name="adj2" fmla="val 51598"/>
            </a:avLst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215" name="Текстовое поле 2" descr="Если значение больше 50, добавить его в сумму.&#10; &#10;">
            <a:extLst>
              <a:ext uri="{FF2B5EF4-FFF2-40B4-BE49-F238E27FC236}">
                <a16:creationId xmlns:a16="http://schemas.microsoft.com/office/drawing/2014/main" id="{34E10F90-E5DA-4762-813E-A88E491D6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28631" y="15023502"/>
            <a:ext cx="1041935" cy="85165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Если значение больше 50, добавить его в сумму.</a:t>
            </a:r>
          </a:p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 </a:t>
            </a:r>
          </a:p>
        </xdr:txBody>
      </xdr:sp>
    </xdr:grpSp>
    <xdr:clientData/>
  </xdr:twoCellAnchor>
  <xdr:twoCellAnchor>
    <xdr:from>
      <xdr:col>5</xdr:col>
      <xdr:colOff>299651</xdr:colOff>
      <xdr:row>17</xdr:row>
      <xdr:rowOff>154967</xdr:rowOff>
    </xdr:from>
    <xdr:to>
      <xdr:col>11</xdr:col>
      <xdr:colOff>133350</xdr:colOff>
      <xdr:row>24</xdr:row>
      <xdr:rowOff>180975</xdr:rowOff>
    </xdr:to>
    <xdr:grpSp>
      <xdr:nvGrpSpPr>
        <xdr:cNvPr id="216" name="Группа 215">
          <a:extLst>
            <a:ext uri="{FF2B5EF4-FFF2-40B4-BE49-F238E27FC236}">
              <a16:creationId xmlns:a16="http://schemas.microsoft.com/office/drawing/2014/main" id="{0FA38FBC-68F7-4669-920A-9D32BAD15061}"/>
            </a:ext>
          </a:extLst>
        </xdr:cNvPr>
        <xdr:cNvGrpSpPr/>
      </xdr:nvGrpSpPr>
      <xdr:grpSpPr>
        <a:xfrm>
          <a:off x="9672251" y="3964967"/>
          <a:ext cx="4310449" cy="1359508"/>
          <a:chOff x="9434126" y="7174892"/>
          <a:chExt cx="4148524" cy="1359508"/>
        </a:xfrm>
      </xdr:grpSpPr>
      <xdr:grpSp>
        <xdr:nvGrpSpPr>
          <xdr:cNvPr id="217" name="Группа 216">
            <a:extLst>
              <a:ext uri="{FF2B5EF4-FFF2-40B4-BE49-F238E27FC236}">
                <a16:creationId xmlns:a16="http://schemas.microsoft.com/office/drawing/2014/main" id="{CD1F56E6-4339-49C4-BA4B-9E71C6AAB175}"/>
              </a:ext>
            </a:extLst>
          </xdr:cNvPr>
          <xdr:cNvGrpSpPr/>
        </xdr:nvGrpSpPr>
        <xdr:grpSpPr>
          <a:xfrm>
            <a:off x="9434126" y="7219374"/>
            <a:ext cx="4148524" cy="1315026"/>
            <a:chOff x="10339001" y="7219374"/>
            <a:chExt cx="4148524" cy="1315026"/>
          </a:xfrm>
        </xdr:grpSpPr>
        <xdr:grpSp>
          <xdr:nvGrpSpPr>
            <xdr:cNvPr id="219" name="СОВЕТ ЭКСПЕРТА" descr="СОВЕТ ЭКСПЕРТА">
              <a:extLst>
                <a:ext uri="{FF2B5EF4-FFF2-40B4-BE49-F238E27FC236}">
                  <a16:creationId xmlns:a16="http://schemas.microsoft.com/office/drawing/2014/main" id="{80AEA6E2-8705-424F-9170-D839A6C17C4E}"/>
                </a:ext>
              </a:extLst>
            </xdr:cNvPr>
            <xdr:cNvGrpSpPr/>
          </xdr:nvGrpSpPr>
          <xdr:grpSpPr>
            <a:xfrm>
              <a:off x="11734800" y="7219950"/>
              <a:ext cx="2752725" cy="1314450"/>
              <a:chOff x="8448675" y="2143125"/>
              <a:chExt cx="2419160" cy="1306429"/>
            </a:xfrm>
          </xdr:grpSpPr>
          <xdr:pic>
            <xdr:nvPicPr>
              <xdr:cNvPr id="221" name="Графический объект 2" descr="Сова">
                <a:extLst>
                  <a:ext uri="{FF2B5EF4-FFF2-40B4-BE49-F238E27FC236}">
                    <a16:creationId xmlns:a16="http://schemas.microsoft.com/office/drawing/2014/main" id="{005C7F96-8ED7-420B-AD1E-BC344D71706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8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9"/>
                  </a:ext>
                </a:extLst>
              </a:blip>
              <a:stretch>
                <a:fillRect/>
              </a:stretch>
            </xdr:blipFill>
            <xdr:spPr>
              <a:xfrm>
                <a:off x="8448675" y="2170284"/>
                <a:ext cx="444647" cy="444647"/>
              </a:xfrm>
              <a:prstGeom prst="rect">
                <a:avLst/>
              </a:prstGeom>
            </xdr:spPr>
          </xdr:pic>
          <xdr:sp macro="" textlink="">
            <xdr:nvSpPr>
              <xdr:cNvPr id="222" name="Шаг" descr="СОВЕТ ЭКСПЕРТА&#10;В ячейках «Фрукт» и «Сорт» есть раскрывающееся списки, в которых можно выбрать различные фрукты. Попробуйте сделать это и обратите внимание на то, как формулы автоматически обновляются.&#10;">
                <a:extLst>
                  <a:ext uri="{FF2B5EF4-FFF2-40B4-BE49-F238E27FC236}">
                    <a16:creationId xmlns:a16="http://schemas.microsoft.com/office/drawing/2014/main" id="{5CCDF5E6-5FC8-4BED-8317-7F1909950424}"/>
                  </a:ext>
                </a:extLst>
              </xdr:cNvPr>
              <xdr:cNvSpPr txBox="1"/>
            </xdr:nvSpPr>
            <xdr:spPr>
              <a:xfrm>
                <a:off x="8782052" y="2143125"/>
                <a:ext cx="2085783" cy="130642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lvl="0" rtl="0">
                  <a:defRPr/>
                </a:pPr>
                <a:r>
                  <a:rPr lang="ru" sz="1200" b="1" kern="0">
                    <a:solidFill>
                      <a:srgbClr val="ED7D31">
                        <a:lumMod val="60000"/>
                        <a:lumOff val="40000"/>
                      </a:srgbClr>
                    </a:solidFill>
                    <a:latin typeface="+mj-lt"/>
                    <a:ea typeface="Segoe UI" pitchFamily="34" charset="0"/>
                    <a:cs typeface="Segoe UI Light" panose="020B0502040204020203" pitchFamily="34" charset="0"/>
                  </a:rPr>
                  <a:t>СОВЕТ ЭКСПЕРТА</a:t>
                </a:r>
                <a:endParaRPr lang="en-US" sz="1200" b="1">
                  <a:solidFill>
                    <a:srgbClr val="ED7D31">
                      <a:lumMod val="60000"/>
                      <a:lumOff val="40000"/>
                    </a:srgbClr>
                  </a:solidFill>
                  <a:latin typeface="+mj-lt"/>
                  <a:ea typeface="Segoe UI" pitchFamily="34" charset="0"/>
                  <a:cs typeface="Segoe UI Light" panose="020B0502040204020203" pitchFamily="34" charset="0"/>
                </a:endParaRPr>
              </a:p>
              <a:p>
                <a:pPr lvl="0" rtl="0">
                  <a:defRPr/>
                </a:pPr>
                <a:r>
                  <a:rPr lang="ru" sz="1100" kern="0">
                    <a:solidFill>
                      <a:schemeClr val="bg2">
                        <a:lumMod val="25000"/>
                      </a:schemeClr>
                    </a:solidFill>
                    <a:ea typeface="Segoe UI" pitchFamily="34" charset="0"/>
                    <a:cs typeface="Segoe UI Light" panose="020B0502040204020203" pitchFamily="34" charset="0"/>
                  </a:rPr>
                  <a:t>В ячейках «Фрукт» и «Сорт» есть раскрывающееся списки, в которых можно выбрать различные фрукты. Попробуйте сделать это и обратите внимание на то, как формулы автоматически обновляются.</a:t>
                </a:r>
              </a:p>
            </xdr:txBody>
          </xdr:sp>
        </xdr:grpSp>
        <xdr:sp macro="" textlink="">
          <xdr:nvSpPr>
            <xdr:cNvPr id="220" name="Полилиния: фигура 219">
              <a:extLst>
                <a:ext uri="{FF2B5EF4-FFF2-40B4-BE49-F238E27FC236}">
                  <a16:creationId xmlns:a16="http://schemas.microsoft.com/office/drawing/2014/main" id="{AF0BFE77-4F4B-4DF3-83CA-BB18C515031A}"/>
                </a:ext>
              </a:extLst>
            </xdr:cNvPr>
            <xdr:cNvSpPr/>
          </xdr:nvSpPr>
          <xdr:spPr>
            <a:xfrm rot="1452668" flipH="1" flipV="1">
              <a:off x="10339001" y="7219374"/>
              <a:ext cx="1431970" cy="264252"/>
            </a:xfrm>
            <a:custGeom>
              <a:avLst/>
              <a:gdLst>
                <a:gd name="connsiteX0" fmla="*/ 0 w 1504950"/>
                <a:gd name="connsiteY0" fmla="*/ 496803 h 496803"/>
                <a:gd name="connsiteX1" fmla="*/ 809625 w 1504950"/>
                <a:gd name="connsiteY1" fmla="*/ 20553 h 496803"/>
                <a:gd name="connsiteX2" fmla="*/ 1504950 w 1504950"/>
                <a:gd name="connsiteY2" fmla="*/ 106278 h 49680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504950" h="496803">
                  <a:moveTo>
                    <a:pt x="0" y="496803"/>
                  </a:moveTo>
                  <a:cubicBezTo>
                    <a:pt x="279400" y="291221"/>
                    <a:pt x="558800" y="85640"/>
                    <a:pt x="809625" y="20553"/>
                  </a:cubicBezTo>
                  <a:cubicBezTo>
                    <a:pt x="1060450" y="-44534"/>
                    <a:pt x="1411288" y="61828"/>
                    <a:pt x="1504950" y="106278"/>
                  </a:cubicBezTo>
                </a:path>
              </a:pathLst>
            </a:custGeom>
            <a:noFill/>
            <a:ln w="19050">
              <a:solidFill>
                <a:srgbClr val="F4B183"/>
              </a:solidFill>
              <a:headEnd type="none" w="med" len="med"/>
              <a:tailEnd type="triangle" w="med" len="me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 rtl="0"/>
              <a:endParaRPr lang="en-US" sz="1100"/>
            </a:p>
          </xdr:txBody>
        </xdr:sp>
      </xdr:grpSp>
      <xdr:sp macro="" textlink="">
        <xdr:nvSpPr>
          <xdr:cNvPr id="218" name="Полилиния: фигура 217">
            <a:extLst>
              <a:ext uri="{FF2B5EF4-FFF2-40B4-BE49-F238E27FC236}">
                <a16:creationId xmlns:a16="http://schemas.microsoft.com/office/drawing/2014/main" id="{19645F13-0D13-4734-8A33-17BCC3F25A81}"/>
              </a:ext>
            </a:extLst>
          </xdr:cNvPr>
          <xdr:cNvSpPr/>
        </xdr:nvSpPr>
        <xdr:spPr>
          <a:xfrm rot="1980529" flipH="1" flipV="1">
            <a:off x="10150393" y="7174892"/>
            <a:ext cx="691581" cy="182474"/>
          </a:xfrm>
          <a:custGeom>
            <a:avLst/>
            <a:gdLst>
              <a:gd name="connsiteX0" fmla="*/ 0 w 1504950"/>
              <a:gd name="connsiteY0" fmla="*/ 496803 h 496803"/>
              <a:gd name="connsiteX1" fmla="*/ 809625 w 1504950"/>
              <a:gd name="connsiteY1" fmla="*/ 20553 h 496803"/>
              <a:gd name="connsiteX2" fmla="*/ 1504950 w 1504950"/>
              <a:gd name="connsiteY2" fmla="*/ 106278 h 4968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504950" h="496803">
                <a:moveTo>
                  <a:pt x="0" y="496803"/>
                </a:moveTo>
                <a:cubicBezTo>
                  <a:pt x="279400" y="291221"/>
                  <a:pt x="558800" y="85640"/>
                  <a:pt x="809625" y="20553"/>
                </a:cubicBezTo>
                <a:cubicBezTo>
                  <a:pt x="1060450" y="-44534"/>
                  <a:pt x="1411288" y="61828"/>
                  <a:pt x="1504950" y="106278"/>
                </a:cubicBezTo>
              </a:path>
            </a:pathLst>
          </a:custGeom>
          <a:noFill/>
          <a:ln w="19050">
            <a:solidFill>
              <a:srgbClr val="F4B183"/>
            </a:solidFill>
            <a:headEnd type="none" w="med" len="med"/>
            <a:tailEnd type="triangl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  <xdr:twoCellAnchor>
    <xdr:from>
      <xdr:col>1</xdr:col>
      <xdr:colOff>200025</xdr:colOff>
      <xdr:row>13</xdr:row>
      <xdr:rowOff>76199</xdr:rowOff>
    </xdr:from>
    <xdr:to>
      <xdr:col>1</xdr:col>
      <xdr:colOff>4927424</xdr:colOff>
      <xdr:row>24</xdr:row>
      <xdr:rowOff>95250</xdr:rowOff>
    </xdr:to>
    <xdr:grpSp>
      <xdr:nvGrpSpPr>
        <xdr:cNvPr id="223" name="Группа 222">
          <a:extLst>
            <a:ext uri="{FF2B5EF4-FFF2-40B4-BE49-F238E27FC236}">
              <a16:creationId xmlns:a16="http://schemas.microsoft.com/office/drawing/2014/main" id="{6D0DD3D5-631D-4EF0-B8E5-3D745F7C34F8}"/>
            </a:ext>
          </a:extLst>
        </xdr:cNvPr>
        <xdr:cNvGrpSpPr/>
      </xdr:nvGrpSpPr>
      <xdr:grpSpPr>
        <a:xfrm>
          <a:off x="1047750" y="3124199"/>
          <a:ext cx="4727399" cy="2114551"/>
          <a:chOff x="3048000" y="4524374"/>
          <a:chExt cx="4727399" cy="2114551"/>
        </a:xfrm>
      </xdr:grpSpPr>
      <xdr:sp macro="" textlink="">
        <xdr:nvSpPr>
          <xdr:cNvPr id="224" name="текст_Формула" descr="=СУММЕСЛИ(C3:C14;C17;D3:D4)&#10;">
            <a:extLst>
              <a:ext uri="{FF2B5EF4-FFF2-40B4-BE49-F238E27FC236}">
                <a16:creationId xmlns:a16="http://schemas.microsoft.com/office/drawing/2014/main" id="{DCB35442-6216-467A-BC97-109CD36E5CB5}"/>
              </a:ext>
            </a:extLst>
          </xdr:cNvPr>
          <xdr:cNvSpPr txBox="1"/>
        </xdr:nvSpPr>
        <xdr:spPr>
          <a:xfrm>
            <a:off x="3048000" y="5524500"/>
            <a:ext cx="4286250" cy="531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Ins="0" bIns="0" rtlCol="0" anchor="t"/>
          <a:lstStyle/>
          <a:p>
            <a:pPr marL="0" marR="0" rtl="0">
              <a:spcBef>
                <a:spcPts val="0"/>
              </a:spcBef>
              <a:spcAft>
                <a:spcPts val="0"/>
              </a:spcAft>
            </a:pPr>
            <a:r>
              <a:rPr lang="ru" sz="2000">
                <a:solidFill>
                  <a:srgbClr val="000000"/>
                </a:solidFill>
                <a:effectLst/>
                <a:latin typeface="Courier New" panose="02070309020205020404" pitchFamily="49" charset="0"/>
                <a:ea typeface="Times New Roman" panose="02020603050405020304" pitchFamily="18" charset="0"/>
              </a:rPr>
              <a:t>=СУММЕСЛИ(C3:C14;C17;D3:D14)</a:t>
            </a:r>
            <a:endParaRPr lang="en-US" sz="20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grpSp>
        <xdr:nvGrpSpPr>
          <xdr:cNvPr id="225" name="Группа 224">
            <a:extLst>
              <a:ext uri="{FF2B5EF4-FFF2-40B4-BE49-F238E27FC236}">
                <a16:creationId xmlns:a16="http://schemas.microsoft.com/office/drawing/2014/main" id="{32BCCB5A-A2CD-497F-BF2F-258696BB6511}"/>
              </a:ext>
            </a:extLst>
          </xdr:cNvPr>
          <xdr:cNvGrpSpPr/>
        </xdr:nvGrpSpPr>
        <xdr:grpSpPr>
          <a:xfrm>
            <a:off x="4162425" y="4524374"/>
            <a:ext cx="1638300" cy="1051728"/>
            <a:chOff x="4162425" y="4524374"/>
            <a:chExt cx="1638300" cy="1051728"/>
          </a:xfrm>
        </xdr:grpSpPr>
        <xdr:sp macro="" textlink="">
          <xdr:nvSpPr>
            <xdr:cNvPr id="232" name="ФормулаВерхняяСкобка">
              <a:extLst>
                <a:ext uri="{FF2B5EF4-FFF2-40B4-BE49-F238E27FC236}">
                  <a16:creationId xmlns:a16="http://schemas.microsoft.com/office/drawing/2014/main" id="{30BE69DA-1183-4CDD-B940-0CD4E6DE5022}"/>
                </a:ext>
              </a:extLst>
            </xdr:cNvPr>
            <xdr:cNvSpPr/>
          </xdr:nvSpPr>
          <xdr:spPr>
            <a:xfrm rot="5400000">
              <a:off x="4760032" y="4869743"/>
              <a:ext cx="499277" cy="913441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233" name="текст_ФормулаВерхняяВыноска" descr="В каком диапазоне нужно найти значение?&#10;&#10;">
              <a:extLst>
                <a:ext uri="{FF2B5EF4-FFF2-40B4-BE49-F238E27FC236}">
                  <a16:creationId xmlns:a16="http://schemas.microsoft.com/office/drawing/2014/main" id="{FC61B534-CB59-4B54-8582-02E46A40345E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162425" y="4524374"/>
              <a:ext cx="1638300" cy="666000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t" anchorCtr="0">
              <a:noAutofit/>
            </a:bodyPr>
            <a:lstStyle/>
            <a:p>
              <a:pPr marL="0" marR="0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В каком диапазоне нужно найти значение?</a:t>
              </a:r>
            </a:p>
          </xdr:txBody>
        </xdr:sp>
      </xdr:grpSp>
      <xdr:grpSp>
        <xdr:nvGrpSpPr>
          <xdr:cNvPr id="226" name="Группа 225">
            <a:extLst>
              <a:ext uri="{FF2B5EF4-FFF2-40B4-BE49-F238E27FC236}">
                <a16:creationId xmlns:a16="http://schemas.microsoft.com/office/drawing/2014/main" id="{6FA221CD-940C-4567-B73C-941BDC0DD971}"/>
              </a:ext>
            </a:extLst>
          </xdr:cNvPr>
          <xdr:cNvGrpSpPr/>
        </xdr:nvGrpSpPr>
        <xdr:grpSpPr>
          <a:xfrm>
            <a:off x="5867399" y="4524374"/>
            <a:ext cx="1908000" cy="1051728"/>
            <a:chOff x="5867399" y="4524374"/>
            <a:chExt cx="1908000" cy="1051728"/>
          </a:xfrm>
        </xdr:grpSpPr>
        <xdr:sp macro="" textlink="">
          <xdr:nvSpPr>
            <xdr:cNvPr id="230" name="ФормулаВерхняяСкобка">
              <a:extLst>
                <a:ext uri="{FF2B5EF4-FFF2-40B4-BE49-F238E27FC236}">
                  <a16:creationId xmlns:a16="http://schemas.microsoft.com/office/drawing/2014/main" id="{0F30C154-2F1F-4A51-9F6F-727C94B1953E}"/>
                </a:ext>
              </a:extLst>
            </xdr:cNvPr>
            <xdr:cNvSpPr/>
          </xdr:nvSpPr>
          <xdr:spPr>
            <a:xfrm rot="5400000">
              <a:off x="6426907" y="4869743"/>
              <a:ext cx="499277" cy="913441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231" name="текст_ФормулаВерхняяВыноска" descr="В каком диапазоне нужно просуммировать соответствующие значения?&#10;&#10;">
              <a:extLst>
                <a:ext uri="{FF2B5EF4-FFF2-40B4-BE49-F238E27FC236}">
                  <a16:creationId xmlns:a16="http://schemas.microsoft.com/office/drawing/2014/main" id="{DA6683AA-4CC0-471A-A679-B838AA382F23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867399" y="4524374"/>
              <a:ext cx="1908000" cy="666000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t" anchorCtr="0">
              <a:noAutofit/>
            </a:bodyPr>
            <a:lstStyle/>
            <a:p>
              <a:pPr marL="0" marR="0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В каком диапазоне нужно просуммировать соответствующие значения?</a:t>
              </a:r>
            </a:p>
          </xdr:txBody>
        </xdr:sp>
      </xdr:grpSp>
      <xdr:grpSp>
        <xdr:nvGrpSpPr>
          <xdr:cNvPr id="227" name="Группа 226">
            <a:extLst>
              <a:ext uri="{FF2B5EF4-FFF2-40B4-BE49-F238E27FC236}">
                <a16:creationId xmlns:a16="http://schemas.microsoft.com/office/drawing/2014/main" id="{19ECD3AD-6B72-4E46-8FCA-D4C2D3D56A1B}"/>
              </a:ext>
            </a:extLst>
          </xdr:cNvPr>
          <xdr:cNvGrpSpPr/>
        </xdr:nvGrpSpPr>
        <xdr:grpSpPr>
          <a:xfrm>
            <a:off x="4933950" y="5800723"/>
            <a:ext cx="1933575" cy="838202"/>
            <a:chOff x="4933950" y="5800723"/>
            <a:chExt cx="1933575" cy="838202"/>
          </a:xfrm>
        </xdr:grpSpPr>
        <xdr:sp macro="" textlink="">
          <xdr:nvSpPr>
            <xdr:cNvPr id="228" name="ФормулаНижняяСкобка">
              <a:extLst>
                <a:ext uri="{FF2B5EF4-FFF2-40B4-BE49-F238E27FC236}">
                  <a16:creationId xmlns:a16="http://schemas.microsoft.com/office/drawing/2014/main" id="{C4C24EC1-E28F-4850-952E-C211297DA95C}"/>
                </a:ext>
              </a:extLst>
            </xdr:cNvPr>
            <xdr:cNvSpPr/>
          </xdr:nvSpPr>
          <xdr:spPr>
            <a:xfrm rot="16200000">
              <a:off x="5598713" y="5802713"/>
              <a:ext cx="499277" cy="495298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rtl="0"/>
              <a:endParaRPr lang="en-US" sz="11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229" name="текст_ФормулаНижняяВыноска" descr="Какое значение (текстовое или числовое) нужно найти?&#10;&#10;">
              <a:extLst>
                <a:ext uri="{FF2B5EF4-FFF2-40B4-BE49-F238E27FC236}">
                  <a16:creationId xmlns:a16="http://schemas.microsoft.com/office/drawing/2014/main" id="{B9D27F57-F8C2-4EE5-AF26-66707B0E05AE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933950" y="6153150"/>
              <a:ext cx="1933575" cy="485775"/>
            </a:xfrm>
            <a:prstGeom prst="rect">
              <a:avLst/>
            </a:prstGeom>
            <a:solidFill>
              <a:srgbClr val="E2F0D9"/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t" anchorCtr="0">
              <a:noAutofit/>
            </a:bodyPr>
            <a:lstStyle/>
            <a:p>
              <a:pPr marL="0" marR="0" indent="0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Какое значение (текстовое или числовое) нужно найти?</a:t>
              </a:r>
            </a:p>
          </xdr:txBody>
        </xdr:sp>
      </xdr:grpSp>
    </xdr:grpSp>
    <xdr:clientData/>
  </xdr:twoCellAnchor>
  <xdr:twoCellAnchor>
    <xdr:from>
      <xdr:col>0</xdr:col>
      <xdr:colOff>371475</xdr:colOff>
      <xdr:row>31</xdr:row>
      <xdr:rowOff>180975</xdr:rowOff>
    </xdr:from>
    <xdr:to>
      <xdr:col>1</xdr:col>
      <xdr:colOff>5162549</xdr:colOff>
      <xdr:row>47</xdr:row>
      <xdr:rowOff>38724</xdr:rowOff>
    </xdr:to>
    <xdr:grpSp>
      <xdr:nvGrpSpPr>
        <xdr:cNvPr id="234" name="Группа 233">
          <a:extLst>
            <a:ext uri="{FF2B5EF4-FFF2-40B4-BE49-F238E27FC236}">
              <a16:creationId xmlns:a16="http://schemas.microsoft.com/office/drawing/2014/main" id="{728ED977-068D-4BDD-9900-E7A1A0E01A3A}"/>
            </a:ext>
          </a:extLst>
        </xdr:cNvPr>
        <xdr:cNvGrpSpPr/>
      </xdr:nvGrpSpPr>
      <xdr:grpSpPr>
        <a:xfrm>
          <a:off x="371475" y="6657975"/>
          <a:ext cx="5638799" cy="2905749"/>
          <a:chOff x="3048000" y="2390775"/>
          <a:chExt cx="5762624" cy="2971243"/>
        </a:xfrm>
      </xdr:grpSpPr>
      <xdr:sp macro="" textlink="">
        <xdr:nvSpPr>
          <xdr:cNvPr id="235" name="ФормулаНижняяСкобка">
            <a:extLst>
              <a:ext uri="{FF2B5EF4-FFF2-40B4-BE49-F238E27FC236}">
                <a16:creationId xmlns:a16="http://schemas.microsoft.com/office/drawing/2014/main" id="{453E28FE-C60F-4575-A21E-10394924F1B6}"/>
              </a:ext>
            </a:extLst>
          </xdr:cNvPr>
          <xdr:cNvSpPr/>
        </xdr:nvSpPr>
        <xdr:spPr>
          <a:xfrm rot="16200000">
            <a:off x="7378864" y="3712419"/>
            <a:ext cx="499277" cy="827787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rtl="0"/>
            <a:endParaRPr lang="en-US" sz="11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36" name="ФормулаНижняяСкобка">
            <a:extLst>
              <a:ext uri="{FF2B5EF4-FFF2-40B4-BE49-F238E27FC236}">
                <a16:creationId xmlns:a16="http://schemas.microsoft.com/office/drawing/2014/main" id="{B085E19B-EB18-43E6-AB6C-14F6D2AFA1F7}"/>
              </a:ext>
            </a:extLst>
          </xdr:cNvPr>
          <xdr:cNvSpPr/>
        </xdr:nvSpPr>
        <xdr:spPr>
          <a:xfrm rot="16200000">
            <a:off x="5869547" y="3721616"/>
            <a:ext cx="499277" cy="809392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rtl="0"/>
            <a:endParaRPr lang="en-US" sz="11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37" name="ФормулаВерхняяСкобка">
            <a:extLst>
              <a:ext uri="{FF2B5EF4-FFF2-40B4-BE49-F238E27FC236}">
                <a16:creationId xmlns:a16="http://schemas.microsoft.com/office/drawing/2014/main" id="{603AD5F7-68AF-446A-BFE6-540AB775EE0B}"/>
              </a:ext>
            </a:extLst>
          </xdr:cNvPr>
          <xdr:cNvSpPr/>
        </xdr:nvSpPr>
        <xdr:spPr>
          <a:xfrm rot="5400000">
            <a:off x="8205645" y="3181671"/>
            <a:ext cx="499277" cy="441486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238" name="ФормулаВерхняяСкобка">
            <a:extLst>
              <a:ext uri="{FF2B5EF4-FFF2-40B4-BE49-F238E27FC236}">
                <a16:creationId xmlns:a16="http://schemas.microsoft.com/office/drawing/2014/main" id="{7F46ED5B-D0A5-48EA-9808-55AA0B5DCFB6}"/>
              </a:ext>
            </a:extLst>
          </xdr:cNvPr>
          <xdr:cNvSpPr/>
        </xdr:nvSpPr>
        <xdr:spPr>
          <a:xfrm rot="5400000">
            <a:off x="6660760" y="3181670"/>
            <a:ext cx="499277" cy="441486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239" name="ФормулаВерхняяСкобка">
            <a:extLst>
              <a:ext uri="{FF2B5EF4-FFF2-40B4-BE49-F238E27FC236}">
                <a16:creationId xmlns:a16="http://schemas.microsoft.com/office/drawing/2014/main" id="{2B008E04-D970-4F41-8120-26A572840D06}"/>
              </a:ext>
            </a:extLst>
          </xdr:cNvPr>
          <xdr:cNvSpPr/>
        </xdr:nvSpPr>
        <xdr:spPr>
          <a:xfrm rot="5400000">
            <a:off x="4869558" y="2979322"/>
            <a:ext cx="499277" cy="846182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240" name="текст_Формула" descr="=СУММЕСЛИМН(H3:H14;F3:F14;F17;G3:G14;G17)&#10;&#10;">
            <a:extLst>
              <a:ext uri="{FF2B5EF4-FFF2-40B4-BE49-F238E27FC236}">
                <a16:creationId xmlns:a16="http://schemas.microsoft.com/office/drawing/2014/main" id="{E8F46D48-F21D-4E81-88FC-9A6B9FD03454}"/>
              </a:ext>
            </a:extLst>
          </xdr:cNvPr>
          <xdr:cNvSpPr txBox="1"/>
        </xdr:nvSpPr>
        <xdr:spPr>
          <a:xfrm>
            <a:off x="3048000" y="3619500"/>
            <a:ext cx="5762624" cy="531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Ins="0" bIns="0" rtlCol="0" anchor="t"/>
          <a:lstStyle/>
          <a:p>
            <a:pPr marL="0" marR="0" rtl="0">
              <a:spcBef>
                <a:spcPts val="0"/>
              </a:spcBef>
              <a:spcAft>
                <a:spcPts val="0"/>
              </a:spcAft>
            </a:pPr>
            <a:r>
              <a:rPr lang="ru" sz="1800">
                <a:solidFill>
                  <a:srgbClr val="000000"/>
                </a:solidFill>
                <a:effectLst/>
                <a:latin typeface="Courier New" panose="02070309020205020404" pitchFamily="49" charset="0"/>
                <a:ea typeface="Times New Roman" panose="02020603050405020304" pitchFamily="18" charset="0"/>
              </a:rPr>
              <a:t>=СУММЕСЛИМН(H3:H14;F3:F14;F17;G3:G14;G17)</a:t>
            </a:r>
            <a:endParaRPr lang="en-US" sz="18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sp macro="" textlink="">
        <xdr:nvSpPr>
          <xdr:cNvPr id="241" name="текст_ФормулаВерхняяВыноска" descr="В каком диапазоне нужно просуммировать значения?&#10;&#10;">
            <a:extLst>
              <a:ext uri="{FF2B5EF4-FFF2-40B4-BE49-F238E27FC236}">
                <a16:creationId xmlns:a16="http://schemas.microsoft.com/office/drawing/2014/main" id="{5209C66A-5C8F-41D1-8DB2-9F8FD328852E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91921" y="2390775"/>
            <a:ext cx="1281644" cy="89917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В каком диапазоне нужно просуммировать значения?</a:t>
            </a:r>
          </a:p>
        </xdr:txBody>
      </xdr:sp>
      <xdr:sp macro="" textlink="">
        <xdr:nvSpPr>
          <xdr:cNvPr id="242" name="текст_ФормулаВерхняяВыноска" descr="Первое условие&#10;&#10;">
            <a:extLst>
              <a:ext uri="{FF2B5EF4-FFF2-40B4-BE49-F238E27FC236}">
                <a16:creationId xmlns:a16="http://schemas.microsoft.com/office/drawing/2014/main" id="{286630EC-EA3F-4D50-8FFF-0ED884EEF636}"/>
              </a:ext>
            </a:extLst>
          </xdr:cNvPr>
          <xdr:cNvSpPr txBox="1">
            <a:spLocks noChangeArrowheads="1"/>
          </xdr:cNvSpPr>
        </xdr:nvSpPr>
        <xdr:spPr bwMode="auto">
          <a:xfrm>
            <a:off x="6562403" y="2390775"/>
            <a:ext cx="699020" cy="89917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Первое условие</a:t>
            </a:r>
          </a:p>
        </xdr:txBody>
      </xdr:sp>
      <xdr:sp macro="" textlink="">
        <xdr:nvSpPr>
          <xdr:cNvPr id="243" name="текст_ФормулаВерхняяВыноска" descr="Второе условие&#10;">
            <a:extLst>
              <a:ext uri="{FF2B5EF4-FFF2-40B4-BE49-F238E27FC236}">
                <a16:creationId xmlns:a16="http://schemas.microsoft.com/office/drawing/2014/main" id="{B3BB2D28-068F-4AB6-BFAC-B52FC9070566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73114" y="2390775"/>
            <a:ext cx="735811" cy="89917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Второе условие</a:t>
            </a:r>
          </a:p>
        </xdr:txBody>
      </xdr:sp>
      <xdr:sp macro="" textlink="">
        <xdr:nvSpPr>
          <xdr:cNvPr id="244" name="текст_ФормулаНижняяВыноска" descr="Первый диапазон для поиска соответствующих значений&#10;&#10;">
            <a:extLst>
              <a:ext uri="{FF2B5EF4-FFF2-40B4-BE49-F238E27FC236}">
                <a16:creationId xmlns:a16="http://schemas.microsoft.com/office/drawing/2014/main" id="{0209406C-4AC6-478F-BBC6-E1CFFB3DE19A}"/>
              </a:ext>
            </a:extLst>
          </xdr:cNvPr>
          <xdr:cNvSpPr txBox="1">
            <a:spLocks noChangeArrowheads="1"/>
          </xdr:cNvSpPr>
        </xdr:nvSpPr>
        <xdr:spPr bwMode="auto">
          <a:xfrm>
            <a:off x="5519157" y="4257673"/>
            <a:ext cx="1247292" cy="1104343"/>
          </a:xfrm>
          <a:prstGeom prst="rect">
            <a:avLst/>
          </a:prstGeom>
          <a:solidFill>
            <a:srgbClr val="E2F0D9"/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indent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Первый диапазон для поиска соответствующих значений</a:t>
            </a:r>
          </a:p>
        </xdr:txBody>
      </xdr:sp>
      <xdr:sp macro="" textlink="">
        <xdr:nvSpPr>
          <xdr:cNvPr id="245" name="текст_ФормулаНижняяВыноска" descr="Второй диапазон для поиска соответствующих значений&#10;">
            <a:extLst>
              <a:ext uri="{FF2B5EF4-FFF2-40B4-BE49-F238E27FC236}">
                <a16:creationId xmlns:a16="http://schemas.microsoft.com/office/drawing/2014/main" id="{4ADCD88A-8CD3-475F-887A-B5D4E4DD79EB}"/>
              </a:ext>
            </a:extLst>
          </xdr:cNvPr>
          <xdr:cNvSpPr txBox="1">
            <a:spLocks noChangeArrowheads="1"/>
          </xdr:cNvSpPr>
        </xdr:nvSpPr>
        <xdr:spPr bwMode="auto">
          <a:xfrm>
            <a:off x="7010190" y="4257675"/>
            <a:ext cx="1294259" cy="1104343"/>
          </a:xfrm>
          <a:prstGeom prst="rect">
            <a:avLst/>
          </a:prstGeom>
          <a:solidFill>
            <a:srgbClr val="E2F0D9"/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indent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Второй диапазон для поиска соответствующих значений</a:t>
            </a:r>
          </a:p>
        </xdr:txBody>
      </xdr:sp>
    </xdr:grpSp>
    <xdr:clientData/>
  </xdr:twoCellAnchor>
  <xdr:twoCellAnchor>
    <xdr:from>
      <xdr:col>0</xdr:col>
      <xdr:colOff>581025</xdr:colOff>
      <xdr:row>48</xdr:row>
      <xdr:rowOff>142875</xdr:rowOff>
    </xdr:from>
    <xdr:to>
      <xdr:col>1</xdr:col>
      <xdr:colOff>2456367</xdr:colOff>
      <xdr:row>51</xdr:row>
      <xdr:rowOff>102299</xdr:rowOff>
    </xdr:to>
    <xdr:sp macro="" textlink="">
      <xdr:nvSpPr>
        <xdr:cNvPr id="246" name="Кнопка «Подробнее»" descr="Подробнее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1C7F4B40-82FF-4BFC-9078-CC27BDDEEE61}"/>
            </a:ext>
          </a:extLst>
        </xdr:cNvPr>
        <xdr:cNvSpPr/>
      </xdr:nvSpPr>
      <xdr:spPr>
        <a:xfrm>
          <a:off x="581025" y="9858375"/>
          <a:ext cx="2723067" cy="53092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Подробнее</a:t>
          </a:r>
        </a:p>
      </xdr:txBody>
    </xdr:sp>
    <xdr:clientData/>
  </xdr:twoCellAnchor>
  <xdr:twoCellAnchor>
    <xdr:from>
      <xdr:col>0</xdr:col>
      <xdr:colOff>361950</xdr:colOff>
      <xdr:row>99</xdr:row>
      <xdr:rowOff>66687</xdr:rowOff>
    </xdr:from>
    <xdr:to>
      <xdr:col>1</xdr:col>
      <xdr:colOff>5248275</xdr:colOff>
      <xdr:row>125</xdr:row>
      <xdr:rowOff>25587</xdr:rowOff>
    </xdr:to>
    <xdr:grpSp>
      <xdr:nvGrpSpPr>
        <xdr:cNvPr id="247" name="Группа 246">
          <a:extLst>
            <a:ext uri="{FF2B5EF4-FFF2-40B4-BE49-F238E27FC236}">
              <a16:creationId xmlns:a16="http://schemas.microsoft.com/office/drawing/2014/main" id="{09584E15-D790-4D76-92D3-066AB32B2FF1}"/>
            </a:ext>
          </a:extLst>
        </xdr:cNvPr>
        <xdr:cNvGrpSpPr/>
      </xdr:nvGrpSpPr>
      <xdr:grpSpPr>
        <a:xfrm>
          <a:off x="361950" y="19535787"/>
          <a:ext cx="5734050" cy="4950000"/>
          <a:chOff x="171450" y="17059273"/>
          <a:chExt cx="5734050" cy="4744197"/>
        </a:xfrm>
      </xdr:grpSpPr>
      <xdr:sp macro="" textlink="">
        <xdr:nvSpPr>
          <xdr:cNvPr id="248" name="текст_ФонКурса" descr="Фон">
            <a:extLst>
              <a:ext uri="{FF2B5EF4-FFF2-40B4-BE49-F238E27FC236}">
                <a16:creationId xmlns:a16="http://schemas.microsoft.com/office/drawing/2014/main" id="{8E61E9C5-65C2-4369-A6AF-D75ED603CD7B}"/>
              </a:ext>
            </a:extLst>
          </xdr:cNvPr>
          <xdr:cNvSpPr/>
        </xdr:nvSpPr>
        <xdr:spPr>
          <a:xfrm>
            <a:off x="171450" y="17059273"/>
            <a:ext cx="5734050" cy="4744197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220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249" name="текст_ЗаголовокКурса" descr="Другие условные функции">
            <a:extLst>
              <a:ext uri="{FF2B5EF4-FFF2-40B4-BE49-F238E27FC236}">
                <a16:creationId xmlns:a16="http://schemas.microsoft.com/office/drawing/2014/main" id="{D6264DB7-59DD-4D6A-AC81-38A448722642}"/>
              </a:ext>
            </a:extLst>
          </xdr:cNvPr>
          <xdr:cNvSpPr txBox="1"/>
        </xdr:nvSpPr>
        <xdr:spPr>
          <a:xfrm>
            <a:off x="374653" y="17155402"/>
            <a:ext cx="5251444" cy="490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Другие условные функции</a:t>
            </a:r>
          </a:p>
        </xdr:txBody>
      </xdr:sp>
      <xdr:cxnSp macro="">
        <xdr:nvCxnSpPr>
          <xdr:cNvPr id="250" name="текст_Курсстрока1" descr="Декоративная линия">
            <a:extLst>
              <a:ext uri="{FF2B5EF4-FFF2-40B4-BE49-F238E27FC236}">
                <a16:creationId xmlns:a16="http://schemas.microsoft.com/office/drawing/2014/main" id="{0B4852DC-84E1-44B2-B534-237DF994C113}"/>
              </a:ext>
            </a:extLst>
          </xdr:cNvPr>
          <xdr:cNvCxnSpPr>
            <a:cxnSpLocks/>
          </xdr:cNvCxnSpPr>
        </xdr:nvCxnSpPr>
        <xdr:spPr>
          <a:xfrm>
            <a:off x="374653" y="17732171"/>
            <a:ext cx="52482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текст_Курсстрока2" descr="Декоративная линия">
            <a:extLst>
              <a:ext uri="{FF2B5EF4-FFF2-40B4-BE49-F238E27FC236}">
                <a16:creationId xmlns:a16="http://schemas.microsoft.com/office/drawing/2014/main" id="{27456BD0-9A31-4908-B32F-01511DF14E1C}"/>
              </a:ext>
            </a:extLst>
          </xdr:cNvPr>
          <xdr:cNvCxnSpPr>
            <a:cxnSpLocks/>
          </xdr:cNvCxnSpPr>
        </xdr:nvCxnSpPr>
        <xdr:spPr>
          <a:xfrm>
            <a:off x="374653" y="21144348"/>
            <a:ext cx="5248248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" name="текст_КурсВведение" descr="Вы уже знакомы с функциями СУММЕСЛИ, СУММЕСЛИМН, СЧЁТЕСЛИ и СЧЁТЕСЛИМН. Теперь попробуйте самостоятельно изучить другие функции, например СРЗНАЧЕСЛИ, СРЗНАЧЕСЛИМН, МАКСЕСЛИМН или МИНЕСЛИМН. Все они имеют одинаковый синтаксис, поэтому если у вас уже есть формула, вы можете просто заменить в ней название функции. Ниже вы найдете все функции, которые можно использовать в ячейке E106. Вы можете скопировать и вставить их или попытаться ввести их самостоятельно, чтобы лучше запомнить.&#10;&#10;СУММЕСЛИ =СУММЕСЛИ(C92:C103;C106;E92:E103) &#10;СУММЕСЛИМН =СУММЕСЛИМН(E92:E103;C92:C103;C106;D92:D103;D106) &#10;СРЗНАЧЕСЛИ =СРЗНАЧЕСЛИ(C92:C103;C106;E92:E103) &#10;СРЗНАЧЕСЛИМН =СРЗНАЧЕСЛИМН(E92:E103;C92:C103;C106;D92:D92;D106)&#10;СЧЁТЕСЛИ =СЧЁТЕСЛИ(C92:C103;C106)&#10;СЧЁТЕСЛИМН =СЧЁТЕСЛИМН(C92:C103;C106;D92:D103;D106) &#10;МАКСЕСЛИМН =МАКСЕСЛИМН(E92:E103;C92:C103;C10;D92:D103;D106)&#10;МИНЕСЛИМН =МИНЕСЛИМН(E92:E103;C92:C103;C106;D92:D103;D106)&#10;&#10;">
            <a:extLst>
              <a:ext uri="{FF2B5EF4-FFF2-40B4-BE49-F238E27FC236}">
                <a16:creationId xmlns:a16="http://schemas.microsoft.com/office/drawing/2014/main" id="{1BA6A4CB-C9C6-48DA-B0EE-C70E988CD89B}"/>
              </a:ext>
            </a:extLst>
          </xdr:cNvPr>
          <xdr:cNvSpPr txBox="1"/>
        </xdr:nvSpPr>
        <xdr:spPr>
          <a:xfrm>
            <a:off x="381163" y="17765894"/>
            <a:ext cx="5257638" cy="14934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Вы уже знакомы с функциями СУММЕСЛИ, СУММЕСЛИМН, СЧЁТЕСЛИ и СЧЁТЕСЛИМН. Теперь попробуйте самостоятельно изучить другие функции, например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СРЗНАЧЕСЛИ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,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СРЗНАЧЕСЛИМН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,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МАКСЕСЛИМН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или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МИНЕСЛИМН. 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Все они имеют одинаковый синтаксис, поэтому если у вас уже есть формула, вы можете просто заменить в ней название функции. Ниже вы найдете все функции, которые можно использовать в ячейке E106. Вы можете скопировать и вставить их или попытаться ввести их самостоятельно, чтобы лучше запомнить.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1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СУММЕСЛИ 	</a:t>
            </a:r>
            <a:r>
              <a:rPr lang="en-US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        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=СУММЕСЛИ(C92:C103;C106;E92:E103) 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СУММЕСЛИМН </a:t>
            </a:r>
            <a:r>
              <a:rPr lang="en-US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   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=СУММЕСЛИМН(E92:E103;C92:C103;C106;D92:D103;D106) 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СРЗНАЧЕСЛИ </a:t>
            </a:r>
            <a:r>
              <a:rPr lang="en-US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      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=СРЗНАЧЕСЛИ(C92:C103;C106;E92:E103) 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СРЗНАЧЕСЛИМН</a:t>
            </a:r>
            <a:r>
              <a:rPr lang="en-US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 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=СРЗНАЧЕСЛИМН(E92:E103;C92:C103;C106;D92:D92;D106)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СЧЁТЕСЛИ 	</a:t>
            </a:r>
            <a:r>
              <a:rPr lang="en-US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        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=СЧЁТЕСЛИ(C92:C103;C106)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СЧЁТЕСЛИМН </a:t>
            </a:r>
            <a:r>
              <a:rPr lang="en-US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      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=СЧЁТЕСЛИМН(C92:C103;C106;D92:D103;D106) 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МАКСЕСЛИМН </a:t>
            </a:r>
            <a:r>
              <a:rPr lang="en-US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    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=МАКСЕСЛИМН(E92:E103;C92:C103;C106;D92:D103;D106)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МИНЕСЛИМН</a:t>
            </a:r>
            <a:r>
              <a:rPr lang="en-US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    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</a:t>
            </a:r>
            <a:r>
              <a:rPr lang="en-US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=МИНЕСЛИМН(E92:E103;C92:C103;C106;D92:D103;D106)</a:t>
            </a:r>
            <a:endParaRPr lang="en-US" sz="1100" b="1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1</xdr:col>
      <xdr:colOff>3675111</xdr:colOff>
      <xdr:row>122</xdr:row>
      <xdr:rowOff>104775</xdr:rowOff>
    </xdr:from>
    <xdr:to>
      <xdr:col>1</xdr:col>
      <xdr:colOff>4950281</xdr:colOff>
      <xdr:row>124</xdr:row>
      <xdr:rowOff>30649</xdr:rowOff>
    </xdr:to>
    <xdr:sp macro="" textlink="">
      <xdr:nvSpPr>
        <xdr:cNvPr id="254" name="Кнопка«Далее»" descr="Перейти к следующему листу">
          <a:hlinkClick xmlns:r="http://schemas.openxmlformats.org/officeDocument/2006/relationships" r:id="rId3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9817BA26-3F9D-4337-96B5-9647A836BC8B}"/>
            </a:ext>
          </a:extLst>
        </xdr:cNvPr>
        <xdr:cNvSpPr/>
      </xdr:nvSpPr>
      <xdr:spPr>
        <a:xfrm>
          <a:off x="4522836" y="23964900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0</xdr:col>
      <xdr:colOff>361950</xdr:colOff>
      <xdr:row>52</xdr:row>
      <xdr:rowOff>133351</xdr:rowOff>
    </xdr:from>
    <xdr:to>
      <xdr:col>1</xdr:col>
      <xdr:colOff>5248275</xdr:colOff>
      <xdr:row>98</xdr:row>
      <xdr:rowOff>152251</xdr:rowOff>
    </xdr:to>
    <xdr:sp macro="" textlink="">
      <xdr:nvSpPr>
        <xdr:cNvPr id="255" name="Фон" descr="Фон">
          <a:extLst>
            <a:ext uri="{FF2B5EF4-FFF2-40B4-BE49-F238E27FC236}">
              <a16:creationId xmlns:a16="http://schemas.microsoft.com/office/drawing/2014/main" id="{59826756-6574-4AD7-87F3-D5BE531411BB}"/>
            </a:ext>
          </a:extLst>
        </xdr:cNvPr>
        <xdr:cNvSpPr/>
      </xdr:nvSpPr>
      <xdr:spPr>
        <a:xfrm>
          <a:off x="361950" y="10610851"/>
          <a:ext cx="5734050" cy="8820000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 rtl="0"/>
          <a:endParaRPr lang="en-US" sz="2200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547701</xdr:colOff>
      <xdr:row>56</xdr:row>
      <xdr:rowOff>66675</xdr:rowOff>
    </xdr:from>
    <xdr:to>
      <xdr:col>1</xdr:col>
      <xdr:colOff>4948224</xdr:colOff>
      <xdr:row>56</xdr:row>
      <xdr:rowOff>66675</xdr:rowOff>
    </xdr:to>
    <xdr:cxnSp macro="">
      <xdr:nvCxnSpPr>
        <xdr:cNvPr id="256" name="Нижняя линия" descr="Декоративная линия">
          <a:extLst>
            <a:ext uri="{FF2B5EF4-FFF2-40B4-BE49-F238E27FC236}">
              <a16:creationId xmlns:a16="http://schemas.microsoft.com/office/drawing/2014/main" id="{B4FBAF4C-2650-48DA-8BD4-CB9BC3AD86EB}"/>
            </a:ext>
          </a:extLst>
        </xdr:cNvPr>
        <xdr:cNvCxnSpPr>
          <a:cxnSpLocks/>
        </xdr:cNvCxnSpPr>
      </xdr:nvCxnSpPr>
      <xdr:spPr>
        <a:xfrm>
          <a:off x="547701" y="11306175"/>
          <a:ext cx="5248248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547701</xdr:colOff>
      <xdr:row>53</xdr:row>
      <xdr:rowOff>38100</xdr:rowOff>
    </xdr:from>
    <xdr:to>
      <xdr:col>1</xdr:col>
      <xdr:colOff>4951420</xdr:colOff>
      <xdr:row>55</xdr:row>
      <xdr:rowOff>142942</xdr:rowOff>
    </xdr:to>
    <xdr:sp macro="" textlink="">
      <xdr:nvSpPr>
        <xdr:cNvPr id="257" name="Шаг" descr="Условные функции: СУММЕСЛИ&#10;">
          <a:extLst>
            <a:ext uri="{FF2B5EF4-FFF2-40B4-BE49-F238E27FC236}">
              <a16:creationId xmlns:a16="http://schemas.microsoft.com/office/drawing/2014/main" id="{4F5A7CA7-2EE0-4987-96BE-26C1F64A94A4}"/>
            </a:ext>
          </a:extLst>
        </xdr:cNvPr>
        <xdr:cNvSpPr txBox="1"/>
      </xdr:nvSpPr>
      <xdr:spPr>
        <a:xfrm>
          <a:off x="547701" y="10706100"/>
          <a:ext cx="5251444" cy="4858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22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Условные функции: СУММЕСЛИ</a:t>
          </a:r>
        </a:p>
      </xdr:txBody>
    </xdr:sp>
    <xdr:clientData/>
  </xdr:twoCellAnchor>
  <xdr:twoCellAnchor editAs="absolute">
    <xdr:from>
      <xdr:col>0</xdr:col>
      <xdr:colOff>547701</xdr:colOff>
      <xdr:row>94</xdr:row>
      <xdr:rowOff>61511</xdr:rowOff>
    </xdr:from>
    <xdr:to>
      <xdr:col>1</xdr:col>
      <xdr:colOff>4948224</xdr:colOff>
      <xdr:row>94</xdr:row>
      <xdr:rowOff>61511</xdr:rowOff>
    </xdr:to>
    <xdr:cxnSp macro="">
      <xdr:nvCxnSpPr>
        <xdr:cNvPr id="258" name="Нижняя линия" descr="Декоративная линия">
          <a:extLst>
            <a:ext uri="{FF2B5EF4-FFF2-40B4-BE49-F238E27FC236}">
              <a16:creationId xmlns:a16="http://schemas.microsoft.com/office/drawing/2014/main" id="{C9452A63-9B04-434E-9908-862D1547B71D}"/>
            </a:ext>
          </a:extLst>
        </xdr:cNvPr>
        <xdr:cNvCxnSpPr>
          <a:cxnSpLocks/>
        </xdr:cNvCxnSpPr>
      </xdr:nvCxnSpPr>
      <xdr:spPr>
        <a:xfrm>
          <a:off x="547701" y="18578111"/>
          <a:ext cx="5248248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561975</xdr:colOff>
      <xdr:row>56</xdr:row>
      <xdr:rowOff>85725</xdr:rowOff>
    </xdr:from>
    <xdr:to>
      <xdr:col>1</xdr:col>
      <xdr:colOff>5015188</xdr:colOff>
      <xdr:row>61</xdr:row>
      <xdr:rowOff>142875</xdr:rowOff>
    </xdr:to>
    <xdr:sp macro="" textlink="">
      <xdr:nvSpPr>
        <xdr:cNvPr id="259" name="Общие сведения о сложении чисел" descr="Функции СЧЁТЕСЛИ и СЧЁТЕСЛИМН позволяют подсчитать значения в диапазоне с учетом указанных условий. Они отличаются от функций ЕСЛИ и ЕСЛИМН тем, что у них есть только условия и диапазон, в котором они проверяются. Они не суммируют значения в одном диапазоне после проверки значений в другом.&#10;&#10;">
          <a:extLst>
            <a:ext uri="{FF2B5EF4-FFF2-40B4-BE49-F238E27FC236}">
              <a16:creationId xmlns:a16="http://schemas.microsoft.com/office/drawing/2014/main" id="{FD69C356-A3A0-4ACC-9509-4D5AB4574A46}"/>
            </a:ext>
          </a:extLst>
        </xdr:cNvPr>
        <xdr:cNvSpPr txBox="1"/>
      </xdr:nvSpPr>
      <xdr:spPr>
        <a:xfrm>
          <a:off x="561975" y="11325225"/>
          <a:ext cx="5300938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0" kern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Функции </a:t>
          </a:r>
          <a:r>
            <a:rPr lang="ru" sz="1100" b="1" kern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СЧЁТЕСЛИ</a:t>
          </a:r>
          <a:r>
            <a:rPr lang="ru" sz="1100" b="0" kern="1200" baseline="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и </a:t>
          </a:r>
          <a:r>
            <a:rPr lang="ru" sz="1100" b="1" kern="1200" baseline="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СЧЁТЕСЛИМН</a:t>
          </a:r>
          <a:r>
            <a:rPr lang="ru" sz="1100" b="0" kern="1200" baseline="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позволяют </a:t>
          </a:r>
          <a:r>
            <a:rPr lang="ru" sz="1100" kern="1200" baseline="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подсчитать значения в диапазоне с учетом указанных условий. Они </a:t>
          </a:r>
          <a:r>
            <a:rPr lang="ru" sz="1100" kern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отличаются</a:t>
          </a:r>
          <a:r>
            <a:rPr lang="ru" sz="1100" kern="1200" baseline="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от других функций ЕСЛИ и ЕСЛИМН тем, что у них есть только условия и диапазон, в котором они проверяются. Они не суммируют значения в одном диапазоне после проверки значений в другом.</a:t>
          </a: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571500</xdr:colOff>
      <xdr:row>62</xdr:row>
      <xdr:rowOff>19050</xdr:rowOff>
    </xdr:from>
    <xdr:to>
      <xdr:col>1</xdr:col>
      <xdr:colOff>4943876</xdr:colOff>
      <xdr:row>65</xdr:row>
      <xdr:rowOff>5657</xdr:rowOff>
    </xdr:to>
    <xdr:grpSp>
      <xdr:nvGrpSpPr>
        <xdr:cNvPr id="7" name="Группа 6">
          <a:extLst>
            <a:ext uri="{FF2B5EF4-FFF2-40B4-BE49-F238E27FC236}">
              <a16:creationId xmlns:a16="http://schemas.microsoft.com/office/drawing/2014/main" id="{C3BD1A07-2431-425E-86AC-0511A2AC3600}"/>
            </a:ext>
          </a:extLst>
        </xdr:cNvPr>
        <xdr:cNvGrpSpPr/>
      </xdr:nvGrpSpPr>
      <xdr:grpSpPr>
        <a:xfrm>
          <a:off x="571500" y="12401550"/>
          <a:ext cx="5220101" cy="596207"/>
          <a:chOff x="609600" y="10820400"/>
          <a:chExt cx="5220101" cy="596207"/>
        </a:xfrm>
      </xdr:grpSpPr>
      <xdr:sp macro="" textlink="">
        <xdr:nvSpPr>
          <xdr:cNvPr id="261" name="текст_Шаг" descr="Выберите ячейку D64 и введите =СЧЁТЕСЛИ(C50:C61;C64). Функция СЧЁТЕСЛИ имеет следующий синтаксис:&#10;&#10;">
            <a:extLst>
              <a:ext uri="{FF2B5EF4-FFF2-40B4-BE49-F238E27FC236}">
                <a16:creationId xmlns:a16="http://schemas.microsoft.com/office/drawing/2014/main" id="{5A24FD00-3141-43E5-BFED-59C3725C0920}"/>
              </a:ext>
            </a:extLst>
          </xdr:cNvPr>
          <xdr:cNvSpPr txBox="1"/>
        </xdr:nvSpPr>
        <xdr:spPr>
          <a:xfrm>
            <a:off x="981857" y="10862358"/>
            <a:ext cx="4809744" cy="554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Выберите ячейку D64 и введите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=СЧЁТЕСЛИ(C50:C61;C64)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 Функция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СЧЁТЕСЛИ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имеет следующий синтаксис:</a:t>
            </a:r>
          </a:p>
        </xdr:txBody>
      </xdr:sp>
      <xdr:sp macro="" textlink="">
        <xdr:nvSpPr>
          <xdr:cNvPr id="262" name="фигура_Шаг" descr="1">
            <a:extLst>
              <a:ext uri="{FF2B5EF4-FFF2-40B4-BE49-F238E27FC236}">
                <a16:creationId xmlns:a16="http://schemas.microsoft.com/office/drawing/2014/main" id="{99FDB969-22B0-46E6-8435-35519D649D90}"/>
              </a:ext>
            </a:extLst>
          </xdr:cNvPr>
          <xdr:cNvSpPr/>
        </xdr:nvSpPr>
        <xdr:spPr>
          <a:xfrm>
            <a:off x="571500" y="10820400"/>
            <a:ext cx="374621" cy="366863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1</a:t>
            </a:r>
          </a:p>
        </xdr:txBody>
      </xdr:sp>
    </xdr:grpSp>
    <xdr:clientData/>
  </xdr:twoCellAnchor>
  <xdr:twoCellAnchor editAs="absolute">
    <xdr:from>
      <xdr:col>1</xdr:col>
      <xdr:colOff>3733801</xdr:colOff>
      <xdr:row>95</xdr:row>
      <xdr:rowOff>51985</xdr:rowOff>
    </xdr:from>
    <xdr:to>
      <xdr:col>1</xdr:col>
      <xdr:colOff>4878004</xdr:colOff>
      <xdr:row>97</xdr:row>
      <xdr:rowOff>19059</xdr:rowOff>
    </xdr:to>
    <xdr:sp macro="" textlink="">
      <xdr:nvSpPr>
        <xdr:cNvPr id="263" name="Кнопка«Далее»" descr="Перейти к следующему листу">
          <a:hlinkClick xmlns:r="http://schemas.openxmlformats.org/officeDocument/2006/relationships" r:id="rId3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D6D142FA-1F43-4673-883C-435BE4A5BB46}"/>
            </a:ext>
          </a:extLst>
        </xdr:cNvPr>
        <xdr:cNvSpPr/>
      </xdr:nvSpPr>
      <xdr:spPr>
        <a:xfrm>
          <a:off x="4581526" y="18759085"/>
          <a:ext cx="1144203" cy="348074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/>
  </xdr:twoCellAnchor>
  <xdr:twoCellAnchor editAs="absolute">
    <xdr:from>
      <xdr:col>0</xdr:col>
      <xdr:colOff>533400</xdr:colOff>
      <xdr:row>75</xdr:row>
      <xdr:rowOff>135594</xdr:rowOff>
    </xdr:from>
    <xdr:to>
      <xdr:col>1</xdr:col>
      <xdr:colOff>4905776</xdr:colOff>
      <xdr:row>82</xdr:row>
      <xdr:rowOff>85725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DA1DA82-7F55-47D3-8AE9-D782CB1AADE4}"/>
            </a:ext>
          </a:extLst>
        </xdr:cNvPr>
        <xdr:cNvGrpSpPr/>
      </xdr:nvGrpSpPr>
      <xdr:grpSpPr>
        <a:xfrm>
          <a:off x="533400" y="15032694"/>
          <a:ext cx="5220101" cy="1283631"/>
          <a:chOff x="571500" y="13230225"/>
          <a:chExt cx="5220101" cy="596207"/>
        </a:xfrm>
      </xdr:grpSpPr>
      <xdr:sp macro="" textlink="">
        <xdr:nvSpPr>
          <xdr:cNvPr id="265" name="текст_Шаг" descr="Функция СЧЁТЕСЛИМН похожа на функцию СЧЁТЕСЛИ, но позволяет задавать несколько условий. Например, в этом примере можно искать значения по столбцам «Фрукт» и «Сорт», а не только по столбцу «Фрукт». Выберите ячейку H17 и введите =СЧЁТЕСЛИМН(F50:F61;F64;G50:G61;G64). Функция СЧЁТЕСЛИМН имеет следующий синтаксис:&#10;&#10;&#10;">
            <a:extLst>
              <a:ext uri="{FF2B5EF4-FFF2-40B4-BE49-F238E27FC236}">
                <a16:creationId xmlns:a16="http://schemas.microsoft.com/office/drawing/2014/main" id="{FA9C0F1D-374A-480D-BD12-25CF4F963447}"/>
              </a:ext>
            </a:extLst>
          </xdr:cNvPr>
          <xdr:cNvSpPr txBox="1"/>
        </xdr:nvSpPr>
        <xdr:spPr>
          <a:xfrm>
            <a:off x="981857" y="13272183"/>
            <a:ext cx="4809744" cy="554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Функция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СЧЁТЕСЛИМН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похожа на функцию СЧЁТЕСЛИ, но позволяет задавать несколько условий. Например, в этом примере можно искать значения по столбцам «Фрукт» и «Сорт», а не только по столбцу «Фрукт». Выберите ячейку H</a:t>
            </a:r>
            <a:r>
              <a:rPr lang="en-US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64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и введите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=СЧЁТЕСЛИМН(F50:F61;F64;G50:G61;G64)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 Функция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СЧЁТЕСЛИМН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имеет следующий синтаксис: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266" name="фигура_Шаг" descr="2">
            <a:extLst>
              <a:ext uri="{FF2B5EF4-FFF2-40B4-BE49-F238E27FC236}">
                <a16:creationId xmlns:a16="http://schemas.microsoft.com/office/drawing/2014/main" id="{01BEDDF5-7F0E-40BD-AB8B-30CD8617713C}"/>
              </a:ext>
            </a:extLst>
          </xdr:cNvPr>
          <xdr:cNvSpPr/>
        </xdr:nvSpPr>
        <xdr:spPr>
          <a:xfrm>
            <a:off x="571500" y="13230225"/>
            <a:ext cx="374621" cy="170553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2</a:t>
            </a:r>
          </a:p>
        </xdr:txBody>
      </xdr:sp>
    </xdr:grpSp>
    <xdr:clientData/>
  </xdr:twoCellAnchor>
  <xdr:twoCellAnchor>
    <xdr:from>
      <xdr:col>1</xdr:col>
      <xdr:colOff>190500</xdr:colOff>
      <xdr:row>64</xdr:row>
      <xdr:rowOff>187701</xdr:rowOff>
    </xdr:from>
    <xdr:to>
      <xdr:col>1</xdr:col>
      <xdr:colOff>4162425</xdr:colOff>
      <xdr:row>75</xdr:row>
      <xdr:rowOff>49869</xdr:rowOff>
    </xdr:to>
    <xdr:grpSp>
      <xdr:nvGrpSpPr>
        <xdr:cNvPr id="267" name="Группа 266">
          <a:extLst>
            <a:ext uri="{FF2B5EF4-FFF2-40B4-BE49-F238E27FC236}">
              <a16:creationId xmlns:a16="http://schemas.microsoft.com/office/drawing/2014/main" id="{E8932D15-E179-42A0-91A2-EDDEA215314C}"/>
            </a:ext>
          </a:extLst>
        </xdr:cNvPr>
        <xdr:cNvGrpSpPr/>
      </xdr:nvGrpSpPr>
      <xdr:grpSpPr>
        <a:xfrm>
          <a:off x="1038225" y="12979776"/>
          <a:ext cx="3971925" cy="1967193"/>
          <a:chOff x="3048000" y="4524375"/>
          <a:chExt cx="3971925" cy="1924050"/>
        </a:xfrm>
      </xdr:grpSpPr>
      <xdr:sp macro="" textlink="">
        <xdr:nvSpPr>
          <xdr:cNvPr id="268" name="текст_Формула" descr="=СЧЁТЕСЛИ(C50:C61;C64)&#10;">
            <a:extLst>
              <a:ext uri="{FF2B5EF4-FFF2-40B4-BE49-F238E27FC236}">
                <a16:creationId xmlns:a16="http://schemas.microsoft.com/office/drawing/2014/main" id="{D17C46BB-8EDD-4801-A739-F49A4AD6B9C6}"/>
              </a:ext>
            </a:extLst>
          </xdr:cNvPr>
          <xdr:cNvSpPr txBox="1"/>
        </xdr:nvSpPr>
        <xdr:spPr>
          <a:xfrm>
            <a:off x="3048000" y="5334000"/>
            <a:ext cx="3971925" cy="531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Ins="0" bIns="0" rtlCol="0" anchor="t"/>
          <a:lstStyle/>
          <a:p>
            <a:pPr marL="0" marR="0" rtl="0">
              <a:spcBef>
                <a:spcPts val="0"/>
              </a:spcBef>
              <a:spcAft>
                <a:spcPts val="0"/>
              </a:spcAft>
            </a:pPr>
            <a:r>
              <a:rPr lang="ru" sz="2000">
                <a:solidFill>
                  <a:srgbClr val="000000"/>
                </a:solidFill>
                <a:effectLst/>
                <a:latin typeface="Courier New" panose="02070309020205020404" pitchFamily="49" charset="0"/>
                <a:ea typeface="Times New Roman" panose="02020603050405020304" pitchFamily="18" charset="0"/>
              </a:rPr>
              <a:t>=СЧЁТЕСЛИ(C50:C61;C64)</a:t>
            </a:r>
            <a:endParaRPr lang="en-US" sz="20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grpSp>
        <xdr:nvGrpSpPr>
          <xdr:cNvPr id="269" name="Группа 268">
            <a:extLst>
              <a:ext uri="{FF2B5EF4-FFF2-40B4-BE49-F238E27FC236}">
                <a16:creationId xmlns:a16="http://schemas.microsoft.com/office/drawing/2014/main" id="{37527305-6134-452A-8E72-EC503505A6ED}"/>
              </a:ext>
            </a:extLst>
          </xdr:cNvPr>
          <xdr:cNvGrpSpPr/>
        </xdr:nvGrpSpPr>
        <xdr:grpSpPr>
          <a:xfrm>
            <a:off x="4257674" y="4524375"/>
            <a:ext cx="1628775" cy="861227"/>
            <a:chOff x="4257674" y="4524375"/>
            <a:chExt cx="1628775" cy="861227"/>
          </a:xfrm>
        </xdr:grpSpPr>
        <xdr:sp macro="" textlink="">
          <xdr:nvSpPr>
            <xdr:cNvPr id="273" name="ФормулаВерхняяСкобка">
              <a:extLst>
                <a:ext uri="{FF2B5EF4-FFF2-40B4-BE49-F238E27FC236}">
                  <a16:creationId xmlns:a16="http://schemas.microsoft.com/office/drawing/2014/main" id="{36B585B0-0CA8-40C9-B8A4-354751F708F4}"/>
                </a:ext>
              </a:extLst>
            </xdr:cNvPr>
            <xdr:cNvSpPr/>
          </xdr:nvSpPr>
          <xdr:spPr>
            <a:xfrm rot="5400000">
              <a:off x="4836711" y="4602564"/>
              <a:ext cx="499277" cy="1066800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274" name="текст_ФормулаВерхняяВыноска" descr="В каком диапазоне нужно найти значение?&#10;">
              <a:extLst>
                <a:ext uri="{FF2B5EF4-FFF2-40B4-BE49-F238E27FC236}">
                  <a16:creationId xmlns:a16="http://schemas.microsoft.com/office/drawing/2014/main" id="{34D80480-D101-45AC-B9CF-78D23DC421E6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257674" y="4524375"/>
              <a:ext cx="1628775" cy="499123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t" anchorCtr="0">
              <a:noAutofit/>
            </a:bodyPr>
            <a:lstStyle/>
            <a:p>
              <a:pPr marL="0" marR="0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В каком диапазоне нужно найти значение?</a:t>
              </a:r>
            </a:p>
          </xdr:txBody>
        </xdr:sp>
      </xdr:grpSp>
      <xdr:grpSp>
        <xdr:nvGrpSpPr>
          <xdr:cNvPr id="270" name="Группа 269">
            <a:extLst>
              <a:ext uri="{FF2B5EF4-FFF2-40B4-BE49-F238E27FC236}">
                <a16:creationId xmlns:a16="http://schemas.microsoft.com/office/drawing/2014/main" id="{2CCDD87F-488A-4F59-94B0-9890040AE4A5}"/>
              </a:ext>
            </a:extLst>
          </xdr:cNvPr>
          <xdr:cNvGrpSpPr/>
        </xdr:nvGrpSpPr>
        <xdr:grpSpPr>
          <a:xfrm>
            <a:off x="5086350" y="5610223"/>
            <a:ext cx="1914525" cy="838202"/>
            <a:chOff x="5086350" y="5610223"/>
            <a:chExt cx="1914525" cy="838202"/>
          </a:xfrm>
        </xdr:grpSpPr>
        <xdr:sp macro="" textlink="">
          <xdr:nvSpPr>
            <xdr:cNvPr id="271" name="ФормулаНижняяСкобка">
              <a:extLst>
                <a:ext uri="{FF2B5EF4-FFF2-40B4-BE49-F238E27FC236}">
                  <a16:creationId xmlns:a16="http://schemas.microsoft.com/office/drawing/2014/main" id="{A61DA540-4BFA-41A7-A504-CCFAB774EC94}"/>
                </a:ext>
              </a:extLst>
            </xdr:cNvPr>
            <xdr:cNvSpPr/>
          </xdr:nvSpPr>
          <xdr:spPr>
            <a:xfrm rot="16200000">
              <a:off x="5789213" y="5612213"/>
              <a:ext cx="499277" cy="495298"/>
            </a:xfrm>
            <a:prstGeom prst="leftBrac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rtl="0"/>
              <a:endParaRPr lang="en-US" sz="11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272" name="текст_ФормулаНижняяВыноска" descr="Какое значение (текстовое или числовое) нужно найти?&#10;">
              <a:extLst>
                <a:ext uri="{FF2B5EF4-FFF2-40B4-BE49-F238E27FC236}">
                  <a16:creationId xmlns:a16="http://schemas.microsoft.com/office/drawing/2014/main" id="{73BBFD57-E525-4CF9-A6E9-242691515557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086350" y="5962650"/>
              <a:ext cx="1914525" cy="485775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rtlCol="0" anchor="t" anchorCtr="0">
              <a:noAutofit/>
            </a:bodyPr>
            <a:lstStyle/>
            <a:p>
              <a:pPr marL="0" marR="0" indent="0" rtl="0">
                <a:lnSpc>
                  <a:spcPct val="107000"/>
                </a:lnSpc>
                <a:spcBef>
                  <a:spcPts val="0"/>
                </a:spcBef>
                <a:spcAft>
                  <a:spcPts val="800"/>
                </a:spcAft>
              </a:pPr>
              <a:r>
                <a:rPr lang="ru" sz="1100">
                  <a:effectLst/>
                  <a:latin typeface="Calibri" panose="020F050202020403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Какое значение (текстовое или числовое) нужно найти?</a:t>
              </a:r>
            </a:p>
          </xdr:txBody>
        </xdr:sp>
      </xdr:grpSp>
    </xdr:grpSp>
    <xdr:clientData/>
  </xdr:twoCellAnchor>
  <xdr:twoCellAnchor>
    <xdr:from>
      <xdr:col>0</xdr:col>
      <xdr:colOff>619125</xdr:colOff>
      <xdr:row>83</xdr:row>
      <xdr:rowOff>11751</xdr:rowOff>
    </xdr:from>
    <xdr:to>
      <xdr:col>1</xdr:col>
      <xdr:colOff>5066746</xdr:colOff>
      <xdr:row>93</xdr:row>
      <xdr:rowOff>42413</xdr:rowOff>
    </xdr:to>
    <xdr:grpSp>
      <xdr:nvGrpSpPr>
        <xdr:cNvPr id="275" name="Группа 274">
          <a:extLst>
            <a:ext uri="{FF2B5EF4-FFF2-40B4-BE49-F238E27FC236}">
              <a16:creationId xmlns:a16="http://schemas.microsoft.com/office/drawing/2014/main" id="{847274C0-AC26-4344-B2CE-53D60DDD0425}"/>
            </a:ext>
          </a:extLst>
        </xdr:cNvPr>
        <xdr:cNvGrpSpPr/>
      </xdr:nvGrpSpPr>
      <xdr:grpSpPr>
        <a:xfrm>
          <a:off x="619125" y="16432851"/>
          <a:ext cx="5295346" cy="1935662"/>
          <a:chOff x="638175" y="14144607"/>
          <a:chExt cx="5267326" cy="1964237"/>
        </a:xfrm>
      </xdr:grpSpPr>
      <xdr:sp macro="" textlink="">
        <xdr:nvSpPr>
          <xdr:cNvPr id="276" name="ФормулаНижняяСкобка">
            <a:extLst>
              <a:ext uri="{FF2B5EF4-FFF2-40B4-BE49-F238E27FC236}">
                <a16:creationId xmlns:a16="http://schemas.microsoft.com/office/drawing/2014/main" id="{97A01290-7C21-4B89-985F-9ACD27071CF1}"/>
              </a:ext>
            </a:extLst>
          </xdr:cNvPr>
          <xdr:cNvSpPr/>
        </xdr:nvSpPr>
        <xdr:spPr>
          <a:xfrm rot="16200000">
            <a:off x="5225283" y="15287844"/>
            <a:ext cx="495146" cy="393904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rtl="0"/>
            <a:endParaRPr lang="en-US" sz="11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77" name="ФормулаНижняяСкобка">
            <a:extLst>
              <a:ext uri="{FF2B5EF4-FFF2-40B4-BE49-F238E27FC236}">
                <a16:creationId xmlns:a16="http://schemas.microsoft.com/office/drawing/2014/main" id="{FBA8E8F9-1C1F-46A9-819E-ED4261288C76}"/>
              </a:ext>
            </a:extLst>
          </xdr:cNvPr>
          <xdr:cNvSpPr/>
        </xdr:nvSpPr>
        <xdr:spPr>
          <a:xfrm rot="16200000">
            <a:off x="3509220" y="15296797"/>
            <a:ext cx="495146" cy="376000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rtl="0"/>
            <a:endParaRPr lang="en-US" sz="11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78" name="ФормулаВерхняяСкобка">
            <a:extLst>
              <a:ext uri="{FF2B5EF4-FFF2-40B4-BE49-F238E27FC236}">
                <a16:creationId xmlns:a16="http://schemas.microsoft.com/office/drawing/2014/main" id="{44603805-5C4E-4370-B762-A5B53406A8B3}"/>
              </a:ext>
            </a:extLst>
          </xdr:cNvPr>
          <xdr:cNvSpPr/>
        </xdr:nvSpPr>
        <xdr:spPr>
          <a:xfrm rot="5400000">
            <a:off x="4354063" y="14265553"/>
            <a:ext cx="495146" cy="1002666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279" name="ФормулаВерхняяСкобка">
            <a:extLst>
              <a:ext uri="{FF2B5EF4-FFF2-40B4-BE49-F238E27FC236}">
                <a16:creationId xmlns:a16="http://schemas.microsoft.com/office/drawing/2014/main" id="{02E6B0A4-8693-43A2-A27C-ECA0F01F93E4}"/>
              </a:ext>
            </a:extLst>
          </xdr:cNvPr>
          <xdr:cNvSpPr/>
        </xdr:nvSpPr>
        <xdr:spPr>
          <a:xfrm rot="5400000">
            <a:off x="2617524" y="14292407"/>
            <a:ext cx="495146" cy="948951"/>
          </a:xfrm>
          <a:prstGeom prst="leftBrac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/>
          </a:p>
        </xdr:txBody>
      </xdr:sp>
      <xdr:sp macro="" textlink="">
        <xdr:nvSpPr>
          <xdr:cNvPr id="280" name="текст_Формула" descr="=СЧЁТЕСЛИМН(F50:F61;F64;G50:G61;G64)&#10;">
            <a:extLst>
              <a:ext uri="{FF2B5EF4-FFF2-40B4-BE49-F238E27FC236}">
                <a16:creationId xmlns:a16="http://schemas.microsoft.com/office/drawing/2014/main" id="{9B024B79-A0D7-4146-8614-608EC9FDD326}"/>
              </a:ext>
            </a:extLst>
          </xdr:cNvPr>
          <xdr:cNvSpPr txBox="1"/>
        </xdr:nvSpPr>
        <xdr:spPr>
          <a:xfrm>
            <a:off x="638175" y="14982175"/>
            <a:ext cx="5267326" cy="526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Ins="0" bIns="0" rtlCol="0" anchor="t"/>
          <a:lstStyle/>
          <a:p>
            <a:pPr marL="0" marR="0" rtl="0">
              <a:spcBef>
                <a:spcPts val="0"/>
              </a:spcBef>
              <a:spcAft>
                <a:spcPts val="0"/>
              </a:spcAft>
            </a:pPr>
            <a:r>
              <a:rPr lang="ru" sz="1900">
                <a:solidFill>
                  <a:srgbClr val="000000"/>
                </a:solidFill>
                <a:effectLst/>
                <a:latin typeface="Courier New" panose="02070309020205020404" pitchFamily="49" charset="0"/>
                <a:ea typeface="Times New Roman" panose="02020603050405020304" pitchFamily="18" charset="0"/>
              </a:rPr>
              <a:t>=СЧЁТЕСЛИМН(F50:F61;F64;G50:G61;G64)</a:t>
            </a:r>
            <a:endParaRPr lang="en-US" sz="19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sp macro="" textlink="">
        <xdr:nvSpPr>
          <xdr:cNvPr id="281" name="текст_ФормулаВерхняяВыноска" descr="Первый диапазон для подсчета значений&#10;&#10;&#10;">
            <a:extLst>
              <a:ext uri="{FF2B5EF4-FFF2-40B4-BE49-F238E27FC236}">
                <a16:creationId xmlns:a16="http://schemas.microsoft.com/office/drawing/2014/main" id="{DED25350-43A6-40AF-99DE-4A8B25E7E5AE}"/>
              </a:ext>
            </a:extLst>
          </xdr:cNvPr>
          <xdr:cNvSpPr txBox="1">
            <a:spLocks noChangeArrowheads="1"/>
          </xdr:cNvSpPr>
        </xdr:nvSpPr>
        <xdr:spPr bwMode="auto">
          <a:xfrm>
            <a:off x="2114723" y="14144607"/>
            <a:ext cx="1488999" cy="49377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Первый диапазон для подсчета значений</a:t>
            </a:r>
          </a:p>
        </xdr:txBody>
      </xdr:sp>
      <xdr:sp macro="" textlink="">
        <xdr:nvSpPr>
          <xdr:cNvPr id="282" name="текст_ФормулаВерхняяВыноска" descr="Второй диапазон для подсчета значений&#10;">
            <a:extLst>
              <a:ext uri="{FF2B5EF4-FFF2-40B4-BE49-F238E27FC236}">
                <a16:creationId xmlns:a16="http://schemas.microsoft.com/office/drawing/2014/main" id="{11EE695F-0D8C-4F27-9607-875A146520A9}"/>
              </a:ext>
            </a:extLst>
          </xdr:cNvPr>
          <xdr:cNvSpPr txBox="1">
            <a:spLocks noChangeArrowheads="1"/>
          </xdr:cNvSpPr>
        </xdr:nvSpPr>
        <xdr:spPr bwMode="auto">
          <a:xfrm>
            <a:off x="3877655" y="14144607"/>
            <a:ext cx="1469391" cy="49377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rtl="0"/>
            <a:r>
              <a:rPr lang="ru" sz="1100">
                <a:effectLst/>
                <a:latin typeface="+mn-lt"/>
                <a:ea typeface="+mn-ea"/>
                <a:cs typeface="+mn-cs"/>
              </a:rPr>
              <a:t>Второй диапазон для подсчета значений</a:t>
            </a:r>
            <a:endParaRPr lang="en-US">
              <a:effectLst/>
            </a:endParaRPr>
          </a:p>
        </xdr:txBody>
      </xdr:sp>
      <xdr:sp macro="" textlink="">
        <xdr:nvSpPr>
          <xdr:cNvPr id="283" name="текст_ФормулаНижняяВыноска" descr="Первое условие&#10;&#10;">
            <a:extLst>
              <a:ext uri="{FF2B5EF4-FFF2-40B4-BE49-F238E27FC236}">
                <a16:creationId xmlns:a16="http://schemas.microsoft.com/office/drawing/2014/main" id="{CA955A6F-F900-4254-A38C-2B84B32EF341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85896" y="15615070"/>
            <a:ext cx="752000" cy="49377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rtl="0"/>
            <a:r>
              <a:rPr lang="ru" sz="1100">
                <a:effectLst/>
                <a:latin typeface="+mn-lt"/>
                <a:ea typeface="+mn-ea"/>
                <a:cs typeface="+mn-cs"/>
              </a:rPr>
              <a:t>Первое условие</a:t>
            </a:r>
            <a:endParaRPr lang="en-US">
              <a:effectLst/>
            </a:endParaRPr>
          </a:p>
        </xdr:txBody>
      </xdr:sp>
      <xdr:sp macro="" textlink="">
        <xdr:nvSpPr>
          <xdr:cNvPr id="284" name="текст_ФормулаНижняяВыноска" descr="Второе условие&#10;">
            <a:extLst>
              <a:ext uri="{FF2B5EF4-FFF2-40B4-BE49-F238E27FC236}">
                <a16:creationId xmlns:a16="http://schemas.microsoft.com/office/drawing/2014/main" id="{838EB08C-21C3-4C95-9A03-F7C12DFF31CD}"/>
              </a:ext>
            </a:extLst>
          </xdr:cNvPr>
          <xdr:cNvSpPr txBox="1">
            <a:spLocks noChangeArrowheads="1"/>
          </xdr:cNvSpPr>
        </xdr:nvSpPr>
        <xdr:spPr bwMode="auto">
          <a:xfrm>
            <a:off x="5097483" y="15615070"/>
            <a:ext cx="752000" cy="49377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t" anchorCtr="0">
            <a:noAutofit/>
          </a:bodyPr>
          <a:lstStyle/>
          <a:p>
            <a:pPr marL="0" marR="0" indent="0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ru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Второе</a:t>
            </a:r>
            <a:r>
              <a:rPr lang="ru" sz="1100" baseline="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 условие</a:t>
            </a:r>
            <a:endParaRPr lang="en-U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571500</xdr:colOff>
      <xdr:row>95</xdr:row>
      <xdr:rowOff>11769</xdr:rowOff>
    </xdr:from>
    <xdr:to>
      <xdr:col>1</xdr:col>
      <xdr:colOff>2446842</xdr:colOff>
      <xdr:row>97</xdr:row>
      <xdr:rowOff>161693</xdr:rowOff>
    </xdr:to>
    <xdr:sp macro="" textlink="">
      <xdr:nvSpPr>
        <xdr:cNvPr id="285" name="Кнопка «Подробнее»" descr="Подробнее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D5461FA-B324-43B7-BD8D-8A93884BC3F2}"/>
            </a:ext>
          </a:extLst>
        </xdr:cNvPr>
        <xdr:cNvSpPr/>
      </xdr:nvSpPr>
      <xdr:spPr>
        <a:xfrm>
          <a:off x="571500" y="18718869"/>
          <a:ext cx="2723067" cy="53092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Подробнее</a:t>
          </a:r>
        </a:p>
      </xdr:txBody>
    </xdr:sp>
    <xdr:clientData/>
  </xdr:twoCellAnchor>
  <xdr:twoCellAnchor>
    <xdr:from>
      <xdr:col>0</xdr:col>
      <xdr:colOff>619125</xdr:colOff>
      <xdr:row>122</xdr:row>
      <xdr:rowOff>66675</xdr:rowOff>
    </xdr:from>
    <xdr:to>
      <xdr:col>1</xdr:col>
      <xdr:colOff>2494467</xdr:colOff>
      <xdr:row>124</xdr:row>
      <xdr:rowOff>188024</xdr:rowOff>
    </xdr:to>
    <xdr:sp macro="" textlink="">
      <xdr:nvSpPr>
        <xdr:cNvPr id="131" name="Кнопка «Подробнее»" descr="Подробнее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E4939BBA-49B2-4BFB-A7CF-F0BF2534CA19}"/>
            </a:ext>
          </a:extLst>
        </xdr:cNvPr>
        <xdr:cNvSpPr/>
      </xdr:nvSpPr>
      <xdr:spPr>
        <a:xfrm>
          <a:off x="619125" y="23926800"/>
          <a:ext cx="2723067" cy="53092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Подробнее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581025</xdr:colOff>
      <xdr:row>10</xdr:row>
      <xdr:rowOff>9525</xdr:rowOff>
    </xdr:from>
    <xdr:to>
      <xdr:col>6</xdr:col>
      <xdr:colOff>85725</xdr:colOff>
      <xdr:row>19</xdr:row>
      <xdr:rowOff>2128</xdr:rowOff>
    </xdr:to>
    <xdr:grpSp>
      <xdr:nvGrpSpPr>
        <xdr:cNvPr id="76" name="ПОПРОБУЙТЕ САМИ!" descr="ПОПРОБУЙТЕ САМИ!&#10;&#10;">
          <a:extLst>
            <a:ext uri="{FF2B5EF4-FFF2-40B4-BE49-F238E27FC236}">
              <a16:creationId xmlns:a16="http://schemas.microsoft.com/office/drawing/2014/main" id="{16122225-CAAD-44E9-BB30-7B1C9C3D2195}"/>
            </a:ext>
          </a:extLst>
        </xdr:cNvPr>
        <xdr:cNvGrpSpPr/>
      </xdr:nvGrpSpPr>
      <xdr:grpSpPr>
        <a:xfrm>
          <a:off x="6972300" y="2505075"/>
          <a:ext cx="2476500" cy="1716628"/>
          <a:chOff x="7830674" y="7686975"/>
          <a:chExt cx="2476379" cy="1716628"/>
        </a:xfrm>
      </xdr:grpSpPr>
      <xdr:grpSp>
        <xdr:nvGrpSpPr>
          <xdr:cNvPr id="77" name="Строки с квадратной скобкой">
            <a:extLst>
              <a:ext uri="{FF2B5EF4-FFF2-40B4-BE49-F238E27FC236}">
                <a16:creationId xmlns:a16="http://schemas.microsoft.com/office/drawing/2014/main" id="{B68F7B71-DFB1-44E6-A3F5-6C1A75430E65}"/>
              </a:ext>
            </a:extLst>
          </xdr:cNvPr>
          <xdr:cNvGrpSpPr/>
        </xdr:nvGrpSpPr>
        <xdr:grpSpPr>
          <a:xfrm rot="599914">
            <a:off x="8268759" y="7686975"/>
            <a:ext cx="699683" cy="317588"/>
            <a:chOff x="10431582" y="494305"/>
            <a:chExt cx="650892" cy="358953"/>
          </a:xfrm>
        </xdr:grpSpPr>
        <xdr:sp macro="" textlink="">
          <xdr:nvSpPr>
            <xdr:cNvPr id="80" name="Другая строка с квадратной скобкой" descr="Строка с квадратной скобкой">
              <a:extLst>
                <a:ext uri="{FF2B5EF4-FFF2-40B4-BE49-F238E27FC236}">
                  <a16:creationId xmlns:a16="http://schemas.microsoft.com/office/drawing/2014/main" id="{A829194B-025B-496A-981A-F3186DD91FB9}"/>
                </a:ext>
              </a:extLst>
            </xdr:cNvPr>
            <xdr:cNvSpPr/>
          </xdr:nvSpPr>
          <xdr:spPr>
            <a:xfrm rot="4800086">
              <a:off x="10808291" y="552223"/>
              <a:ext cx="332101" cy="216265"/>
            </a:xfrm>
            <a:custGeom>
              <a:avLst/>
              <a:gdLst>
                <a:gd name="connsiteX0" fmla="*/ 0 w 273326"/>
                <a:gd name="connsiteY0" fmla="*/ 193 h 217696"/>
                <a:gd name="connsiteX1" fmla="*/ 157369 w 273326"/>
                <a:gd name="connsiteY1" fmla="*/ 33323 h 217696"/>
                <a:gd name="connsiteX2" fmla="*/ 165652 w 273326"/>
                <a:gd name="connsiteY2" fmla="*/ 207258 h 217696"/>
                <a:gd name="connsiteX3" fmla="*/ 273326 w 273326"/>
                <a:gd name="connsiteY3" fmla="*/ 198976 h 217696"/>
                <a:gd name="connsiteX4" fmla="*/ 273326 w 273326"/>
                <a:gd name="connsiteY4" fmla="*/ 198976 h 2176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73326" h="217696">
                  <a:moveTo>
                    <a:pt x="0" y="193"/>
                  </a:moveTo>
                  <a:cubicBezTo>
                    <a:pt x="64880" y="-498"/>
                    <a:pt x="129760" y="-1188"/>
                    <a:pt x="157369" y="33323"/>
                  </a:cubicBezTo>
                  <a:cubicBezTo>
                    <a:pt x="184978" y="67834"/>
                    <a:pt x="146326" y="179649"/>
                    <a:pt x="165652" y="207258"/>
                  </a:cubicBezTo>
                  <a:cubicBezTo>
                    <a:pt x="184978" y="234867"/>
                    <a:pt x="273326" y="198976"/>
                    <a:pt x="273326" y="198976"/>
                  </a:cubicBezTo>
                  <a:lnTo>
                    <a:pt x="273326" y="198976"/>
                  </a:ln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1" name="Строка с квадратной скобкой" descr="Строка с квадратной скобкой&#10;">
              <a:extLst>
                <a:ext uri="{FF2B5EF4-FFF2-40B4-BE49-F238E27FC236}">
                  <a16:creationId xmlns:a16="http://schemas.microsoft.com/office/drawing/2014/main" id="{BACEE05B-8FEC-4418-A1A8-3357906C0B37}"/>
                </a:ext>
              </a:extLst>
            </xdr:cNvPr>
            <xdr:cNvSpPr/>
          </xdr:nvSpPr>
          <xdr:spPr>
            <a:xfrm rot="4800086">
              <a:off x="10557120" y="532227"/>
              <a:ext cx="195493" cy="446570"/>
            </a:xfrm>
            <a:custGeom>
              <a:avLst/>
              <a:gdLst>
                <a:gd name="connsiteX0" fmla="*/ 0 w 231913"/>
                <a:gd name="connsiteY0" fmla="*/ 579782 h 579782"/>
                <a:gd name="connsiteX1" fmla="*/ 173935 w 231913"/>
                <a:gd name="connsiteY1" fmla="*/ 496956 h 579782"/>
                <a:gd name="connsiteX2" fmla="*/ 107674 w 231913"/>
                <a:gd name="connsiteY2" fmla="*/ 265043 h 579782"/>
                <a:gd name="connsiteX3" fmla="*/ 115956 w 231913"/>
                <a:gd name="connsiteY3" fmla="*/ 57978 h 579782"/>
                <a:gd name="connsiteX4" fmla="*/ 231913 w 231913"/>
                <a:gd name="connsiteY4" fmla="*/ 0 h 57978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31913" h="579782">
                  <a:moveTo>
                    <a:pt x="0" y="579782"/>
                  </a:moveTo>
                  <a:cubicBezTo>
                    <a:pt x="77994" y="564597"/>
                    <a:pt x="155989" y="549413"/>
                    <a:pt x="173935" y="496956"/>
                  </a:cubicBezTo>
                  <a:cubicBezTo>
                    <a:pt x="191881" y="444499"/>
                    <a:pt x="117337" y="338206"/>
                    <a:pt x="107674" y="265043"/>
                  </a:cubicBezTo>
                  <a:cubicBezTo>
                    <a:pt x="98011" y="191880"/>
                    <a:pt x="95250" y="102152"/>
                    <a:pt x="115956" y="57978"/>
                  </a:cubicBezTo>
                  <a:cubicBezTo>
                    <a:pt x="136663" y="13804"/>
                    <a:pt x="184288" y="6902"/>
                    <a:pt x="231913" y="0"/>
                  </a:cubicBez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non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 rtl="0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pic>
        <xdr:nvPicPr>
          <xdr:cNvPr id="78" name="Звезды" descr="Звезды">
            <a:extLst>
              <a:ext uri="{FF2B5EF4-FFF2-40B4-BE49-F238E27FC236}">
                <a16:creationId xmlns:a16="http://schemas.microsoft.com/office/drawing/2014/main" id="{1B099962-803E-4FDC-8B74-904D07626B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830674" y="8038700"/>
            <a:ext cx="388098" cy="337815"/>
          </a:xfrm>
          <a:prstGeom prst="rect">
            <a:avLst/>
          </a:prstGeom>
        </xdr:spPr>
      </xdr:pic>
      <xdr:sp macro="" textlink="">
        <xdr:nvSpPr>
          <xdr:cNvPr id="79" name="Инструкции" descr="ПОПРОБУЙТЕ САМИ!&#10;Вы должны получить формулу =ВПР(C10;C5:D8;2;ЛОЖЬ).&#10;">
            <a:extLst>
              <a:ext uri="{FF2B5EF4-FFF2-40B4-BE49-F238E27FC236}">
                <a16:creationId xmlns:a16="http://schemas.microsoft.com/office/drawing/2014/main" id="{CD6BEA80-3565-4CB2-961F-64F55693307F}"/>
              </a:ext>
            </a:extLst>
          </xdr:cNvPr>
          <xdr:cNvSpPr txBox="1"/>
        </xdr:nvSpPr>
        <xdr:spPr>
          <a:xfrm>
            <a:off x="8132529" y="7993902"/>
            <a:ext cx="2174524" cy="14097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ПОПРОБУЙТЕ САМИ!</a:t>
            </a:r>
          </a:p>
          <a:p>
            <a:pPr lvl="0" rtl="0">
              <a:defRPr/>
            </a:pPr>
            <a:r>
              <a:rPr lang="ru" sz="1100" kern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Вы должны получить формулу </a:t>
            </a:r>
            <a:r>
              <a:rPr lang="ru" sz="1100" b="1" kern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=ВПР(C10;C5:D8;2;ЛОЖЬ).</a:t>
            </a:r>
            <a:endParaRPr lang="en-US" sz="1100" b="1">
              <a:solidFill>
                <a:schemeClr val="bg2">
                  <a:lumMod val="25000"/>
                </a:schemeClr>
              </a:solidFill>
              <a:latin typeface="+mn-lt"/>
              <a:ea typeface="Segoe UI" pitchFamily="34" charset="0"/>
              <a:cs typeface="Segoe UI Light" panose="020B0502040204020203" pitchFamily="34" charset="0"/>
            </a:endParaRPr>
          </a:p>
        </xdr:txBody>
      </xdr:sp>
    </xdr:grpSp>
    <xdr:clientData/>
  </xdr:twoCellAnchor>
  <xdr:twoCellAnchor>
    <xdr:from>
      <xdr:col>0</xdr:col>
      <xdr:colOff>352425</xdr:colOff>
      <xdr:row>35</xdr:row>
      <xdr:rowOff>180974</xdr:rowOff>
    </xdr:from>
    <xdr:to>
      <xdr:col>1</xdr:col>
      <xdr:colOff>5218938</xdr:colOff>
      <xdr:row>48</xdr:row>
      <xdr:rowOff>170474</xdr:rowOff>
    </xdr:to>
    <xdr:grpSp>
      <xdr:nvGrpSpPr>
        <xdr:cNvPr id="82" name="Группа 81">
          <a:extLst>
            <a:ext uri="{FF2B5EF4-FFF2-40B4-BE49-F238E27FC236}">
              <a16:creationId xmlns:a16="http://schemas.microsoft.com/office/drawing/2014/main" id="{1015345F-A070-4EDE-8224-DC487667438E}"/>
            </a:ext>
          </a:extLst>
        </xdr:cNvPr>
        <xdr:cNvGrpSpPr/>
      </xdr:nvGrpSpPr>
      <xdr:grpSpPr>
        <a:xfrm>
          <a:off x="352425" y="7448549"/>
          <a:ext cx="5733288" cy="2466000"/>
          <a:chOff x="352425" y="10715624"/>
          <a:chExt cx="5733288" cy="2466000"/>
        </a:xfrm>
      </xdr:grpSpPr>
      <xdr:sp macro="" textlink="">
        <xdr:nvSpPr>
          <xdr:cNvPr id="83" name="Прямоугольник 82">
            <a:extLst>
              <a:ext uri="{FF2B5EF4-FFF2-40B4-BE49-F238E27FC236}">
                <a16:creationId xmlns:a16="http://schemas.microsoft.com/office/drawing/2014/main" id="{BF247EB2-F003-4BDA-BFB1-B8FADD1C69C7}"/>
              </a:ext>
            </a:extLst>
          </xdr:cNvPr>
          <xdr:cNvSpPr/>
        </xdr:nvSpPr>
        <xdr:spPr>
          <a:xfrm>
            <a:off x="352425" y="10715624"/>
            <a:ext cx="5733288" cy="2466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/>
          </a:p>
        </xdr:txBody>
      </xdr:sp>
      <xdr:sp macro="" textlink="">
        <xdr:nvSpPr>
          <xdr:cNvPr id="84" name="Шаг" descr="Дополнительные сведения в Интернете&#10;">
            <a:extLst>
              <a:ext uri="{FF2B5EF4-FFF2-40B4-BE49-F238E27FC236}">
                <a16:creationId xmlns:a16="http://schemas.microsoft.com/office/drawing/2014/main" id="{28ECC19D-57DD-47CB-A76D-C80D367AE2C8}"/>
              </a:ext>
            </a:extLst>
          </xdr:cNvPr>
          <xdr:cNvSpPr txBox="1"/>
        </xdr:nvSpPr>
        <xdr:spPr>
          <a:xfrm>
            <a:off x="563457" y="10814879"/>
            <a:ext cx="5220000" cy="394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Дополнительные сведения в Интернете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cxnSp macro="">
        <xdr:nvCxnSpPr>
          <xdr:cNvPr id="85" name="Прямая соединительная линия 84" descr="Декоративная линия">
            <a:extLst>
              <a:ext uri="{FF2B5EF4-FFF2-40B4-BE49-F238E27FC236}">
                <a16:creationId xmlns:a16="http://schemas.microsoft.com/office/drawing/2014/main" id="{123ED04E-B6E8-457B-8D55-39D8FD68B6AD}"/>
              </a:ext>
            </a:extLst>
          </xdr:cNvPr>
          <xdr:cNvCxnSpPr>
            <a:cxnSpLocks/>
          </xdr:cNvCxnSpPr>
        </xdr:nvCxnSpPr>
        <xdr:spPr>
          <a:xfrm>
            <a:off x="563457" y="11270868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Прямая соединительная линия 85" descr="Декоративная линия">
            <a:extLst>
              <a:ext uri="{FF2B5EF4-FFF2-40B4-BE49-F238E27FC236}">
                <a16:creationId xmlns:a16="http://schemas.microsoft.com/office/drawing/2014/main" id="{2C795585-0AA1-40B2-AE62-AEC803091634}"/>
              </a:ext>
            </a:extLst>
          </xdr:cNvPr>
          <xdr:cNvCxnSpPr>
            <a:cxnSpLocks/>
          </xdr:cNvCxnSpPr>
        </xdr:nvCxnSpPr>
        <xdr:spPr>
          <a:xfrm>
            <a:off x="563457" y="12960582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562406</xdr:colOff>
      <xdr:row>39</xdr:row>
      <xdr:rowOff>26119</xdr:rowOff>
    </xdr:from>
    <xdr:to>
      <xdr:col>1</xdr:col>
      <xdr:colOff>2876550</xdr:colOff>
      <xdr:row>41</xdr:row>
      <xdr:rowOff>4198</xdr:rowOff>
    </xdr:to>
    <xdr:grpSp>
      <xdr:nvGrpSpPr>
        <xdr:cNvPr id="5" name="Группа 4">
          <a:extLst>
            <a:ext uri="{FF2B5EF4-FFF2-40B4-BE49-F238E27FC236}">
              <a16:creationId xmlns:a16="http://schemas.microsoft.com/office/drawing/2014/main" id="{82632918-520D-4E51-9E28-E3DEB82D9A91}"/>
            </a:ext>
          </a:extLst>
        </xdr:cNvPr>
        <xdr:cNvGrpSpPr/>
      </xdr:nvGrpSpPr>
      <xdr:grpSpPr>
        <a:xfrm>
          <a:off x="562406" y="8055694"/>
          <a:ext cx="3180919" cy="359079"/>
          <a:chOff x="562406" y="11008444"/>
          <a:chExt cx="3180919" cy="359079"/>
        </a:xfrm>
      </xdr:grpSpPr>
      <xdr:sp macro="" textlink="">
        <xdr:nvSpPr>
          <xdr:cNvPr id="87" name="Шаг" descr="Гиперссылка на веб-страницу о функции ЕСЛИ&#10;&#10;">
            <a:hlinkClick xmlns:r="http://schemas.openxmlformats.org/officeDocument/2006/relationships" r:id="rId3" tooltip="Подробные сведения о формулах Excel в Интернете"/>
            <a:extLst>
              <a:ext uri="{FF2B5EF4-FFF2-40B4-BE49-F238E27FC236}">
                <a16:creationId xmlns:a16="http://schemas.microsoft.com/office/drawing/2014/main" id="{41455299-D7B6-412C-80EB-393F42F3AB5B}"/>
              </a:ext>
            </a:extLst>
          </xdr:cNvPr>
          <xdr:cNvSpPr txBox="1"/>
        </xdr:nvSpPr>
        <xdr:spPr>
          <a:xfrm>
            <a:off x="1027591" y="11082804"/>
            <a:ext cx="2715734" cy="2539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Полные сведения</a:t>
            </a:r>
            <a:r>
              <a:rPr lang="ru" sz="1100" u="sng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о формулах в Excel</a:t>
            </a:r>
            <a:endParaRPr lang="en-US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88" name="Графический объект 22" descr="Стрелка">
            <a:hlinkClick xmlns:r="http://schemas.openxmlformats.org/officeDocument/2006/relationships" r:id="rId3" tooltip="Дополнительные сведения в Интернете"/>
            <a:extLst>
              <a:ext uri="{FF2B5EF4-FFF2-40B4-BE49-F238E27FC236}">
                <a16:creationId xmlns:a16="http://schemas.microsoft.com/office/drawing/2014/main" id="{C16F4A00-286C-4F3A-A614-E46206C748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562406" y="11008444"/>
            <a:ext cx="492262" cy="3590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562406</xdr:colOff>
      <xdr:row>41</xdr:row>
      <xdr:rowOff>20185</xdr:rowOff>
    </xdr:from>
    <xdr:to>
      <xdr:col>1</xdr:col>
      <xdr:colOff>2590800</xdr:colOff>
      <xdr:row>43</xdr:row>
      <xdr:rowOff>3574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98FAF5DD-EE61-45C8-981A-2D0D0E97F1D8}"/>
            </a:ext>
          </a:extLst>
        </xdr:cNvPr>
        <xdr:cNvGrpSpPr/>
      </xdr:nvGrpSpPr>
      <xdr:grpSpPr>
        <a:xfrm>
          <a:off x="562406" y="8430760"/>
          <a:ext cx="2895169" cy="364389"/>
          <a:chOff x="562406" y="11383510"/>
          <a:chExt cx="2895169" cy="364389"/>
        </a:xfrm>
      </xdr:grpSpPr>
      <xdr:sp macro="" textlink="">
        <xdr:nvSpPr>
          <xdr:cNvPr id="89" name="Шаг" descr="Гиперссылка на веб-страницу о функции ЕСЛИМН&#10;">
            <a:hlinkClick xmlns:r="http://schemas.openxmlformats.org/officeDocument/2006/relationships" r:id="rId6" tooltip="Функции Excel по категориям"/>
            <a:extLst>
              <a:ext uri="{FF2B5EF4-FFF2-40B4-BE49-F238E27FC236}">
                <a16:creationId xmlns:a16="http://schemas.microsoft.com/office/drawing/2014/main" id="{D3CD53C6-1DF8-4009-A56B-751B768B6B8A}"/>
              </a:ext>
            </a:extLst>
          </xdr:cNvPr>
          <xdr:cNvSpPr txBox="1"/>
        </xdr:nvSpPr>
        <xdr:spPr>
          <a:xfrm>
            <a:off x="1027591" y="11460686"/>
            <a:ext cx="2429984" cy="2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Функции Excel (по</a:t>
            </a:r>
            <a:r>
              <a:rPr lang="ru" sz="1100" u="sng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категориям)</a:t>
            </a:r>
            <a:endParaRPr lang="en-US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90" name="Графический объект 22" descr="Стрелка">
            <a:hlinkClick xmlns:r="http://schemas.openxmlformats.org/officeDocument/2006/relationships" r:id="rId6" tooltip="Дополнительные сведения в Интернете"/>
            <a:extLst>
              <a:ext uri="{FF2B5EF4-FFF2-40B4-BE49-F238E27FC236}">
                <a16:creationId xmlns:a16="http://schemas.microsoft.com/office/drawing/2014/main" id="{49851395-FA5C-4A27-8B33-9F958E8148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562406" y="11383510"/>
            <a:ext cx="492262" cy="36438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562406</xdr:colOff>
      <xdr:row>45</xdr:row>
      <xdr:rowOff>51103</xdr:rowOff>
    </xdr:from>
    <xdr:to>
      <xdr:col>1</xdr:col>
      <xdr:colOff>2981325</xdr:colOff>
      <xdr:row>47</xdr:row>
      <xdr:rowOff>34492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2F82E782-5C9A-405F-90E2-13AE28FFFCBD}"/>
            </a:ext>
          </a:extLst>
        </xdr:cNvPr>
        <xdr:cNvGrpSpPr/>
      </xdr:nvGrpSpPr>
      <xdr:grpSpPr>
        <a:xfrm>
          <a:off x="562406" y="9223678"/>
          <a:ext cx="3285694" cy="364389"/>
          <a:chOff x="562406" y="12176428"/>
          <a:chExt cx="3285694" cy="364389"/>
        </a:xfrm>
      </xdr:grpSpPr>
      <xdr:sp macro="" textlink="">
        <xdr:nvSpPr>
          <xdr:cNvPr id="91" name="Шаг" descr="Гиперссылка на бесплатные учебные веб-курсы по Excel&#10;">
            <a:hlinkClick xmlns:r="http://schemas.openxmlformats.org/officeDocument/2006/relationships" r:id="rId7" tooltip="Сведения о бесплатных учебных веб-курсах по Excel"/>
            <a:extLst>
              <a:ext uri="{FF2B5EF4-FFF2-40B4-BE49-F238E27FC236}">
                <a16:creationId xmlns:a16="http://schemas.microsoft.com/office/drawing/2014/main" id="{19A3D044-BB8D-41AF-8364-CFED7743E9E8}"/>
              </a:ext>
            </a:extLst>
          </xdr:cNvPr>
          <xdr:cNvSpPr txBox="1"/>
        </xdr:nvSpPr>
        <xdr:spPr>
          <a:xfrm>
            <a:off x="1040199" y="12227532"/>
            <a:ext cx="2807901" cy="248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Бесплатные учебные веб-курсы по Excel</a:t>
            </a:r>
          </a:p>
        </xdr:txBody>
      </xdr:sp>
      <xdr:pic>
        <xdr:nvPicPr>
          <xdr:cNvPr id="92" name="Графический объект 22" descr="Стрелка">
            <a:hlinkClick xmlns:r="http://schemas.openxmlformats.org/officeDocument/2006/relationships" r:id="rId7" tooltip="Дополнительные сведения в Интернете"/>
            <a:extLst>
              <a:ext uri="{FF2B5EF4-FFF2-40B4-BE49-F238E27FC236}">
                <a16:creationId xmlns:a16="http://schemas.microsoft.com/office/drawing/2014/main" id="{37889FD7-87AC-422B-93F8-5AECB48007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562406" y="12176428"/>
            <a:ext cx="492262" cy="36438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562406</xdr:colOff>
      <xdr:row>43</xdr:row>
      <xdr:rowOff>19561</xdr:rowOff>
    </xdr:from>
    <xdr:to>
      <xdr:col>1</xdr:col>
      <xdr:colOff>2590800</xdr:colOff>
      <xdr:row>45</xdr:row>
      <xdr:rowOff>2950</xdr:rowOff>
    </xdr:to>
    <xdr:grpSp>
      <xdr:nvGrpSpPr>
        <xdr:cNvPr id="3" name="Группа 2">
          <a:extLst>
            <a:ext uri="{FF2B5EF4-FFF2-40B4-BE49-F238E27FC236}">
              <a16:creationId xmlns:a16="http://schemas.microsoft.com/office/drawing/2014/main" id="{F4AC7FE3-2FB4-4A3F-8F6D-E41D0BF24478}"/>
            </a:ext>
          </a:extLst>
        </xdr:cNvPr>
        <xdr:cNvGrpSpPr/>
      </xdr:nvGrpSpPr>
      <xdr:grpSpPr>
        <a:xfrm>
          <a:off x="562406" y="8811136"/>
          <a:ext cx="2895169" cy="364389"/>
          <a:chOff x="562406" y="11763886"/>
          <a:chExt cx="2895169" cy="364389"/>
        </a:xfrm>
      </xdr:grpSpPr>
      <xdr:sp macro="" textlink="">
        <xdr:nvSpPr>
          <xdr:cNvPr id="93" name="Шаг" descr="Гиперссылка на веб-страницу о сложных операторах ЕСЛИ&#10;">
            <a:hlinkClick xmlns:r="http://schemas.openxmlformats.org/officeDocument/2006/relationships" r:id="rId8" tooltip="Функции Excel в алфавитном порядке"/>
            <a:extLst>
              <a:ext uri="{FF2B5EF4-FFF2-40B4-BE49-F238E27FC236}">
                <a16:creationId xmlns:a16="http://schemas.microsoft.com/office/drawing/2014/main" id="{0C9EBEA8-904F-4B13-9D34-42D4C435F750}"/>
              </a:ext>
            </a:extLst>
          </xdr:cNvPr>
          <xdr:cNvSpPr txBox="1"/>
        </xdr:nvSpPr>
        <xdr:spPr>
          <a:xfrm>
            <a:off x="1027591" y="11832161"/>
            <a:ext cx="2429984" cy="2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Функции Excel (по алфавиту)</a:t>
            </a:r>
          </a:p>
        </xdr:txBody>
      </xdr:sp>
      <xdr:pic>
        <xdr:nvPicPr>
          <xdr:cNvPr id="94" name="Графический объект 22" descr="Стрелка">
            <a:hlinkClick xmlns:r="http://schemas.openxmlformats.org/officeDocument/2006/relationships" r:id="rId8" tooltip="Дополнительные сведения в Интернете"/>
            <a:extLst>
              <a:ext uri="{FF2B5EF4-FFF2-40B4-BE49-F238E27FC236}">
                <a16:creationId xmlns:a16="http://schemas.microsoft.com/office/drawing/2014/main" id="{33FB7408-A75F-4F9B-936E-020F44B829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562406" y="11763886"/>
            <a:ext cx="492262" cy="36438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352425</xdr:colOff>
      <xdr:row>0</xdr:row>
      <xdr:rowOff>352424</xdr:rowOff>
    </xdr:from>
    <xdr:to>
      <xdr:col>1</xdr:col>
      <xdr:colOff>5218938</xdr:colOff>
      <xdr:row>35</xdr:row>
      <xdr:rowOff>68849</xdr:rowOff>
    </xdr:to>
    <xdr:sp macro="" textlink="">
      <xdr:nvSpPr>
        <xdr:cNvPr id="62" name="текст_ФонКурса" descr="Фон">
          <a:extLst>
            <a:ext uri="{FF2B5EF4-FFF2-40B4-BE49-F238E27FC236}">
              <a16:creationId xmlns:a16="http://schemas.microsoft.com/office/drawing/2014/main" id="{9C42B660-A3B5-4F00-8B62-1A2BC85EB46D}"/>
            </a:ext>
          </a:extLst>
        </xdr:cNvPr>
        <xdr:cNvSpPr/>
      </xdr:nvSpPr>
      <xdr:spPr>
        <a:xfrm>
          <a:off x="352425" y="352424"/>
          <a:ext cx="5733288" cy="6984000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 rtl="0"/>
          <a:endParaRPr lang="en-US" sz="2200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567653</xdr:colOff>
      <xdr:row>0</xdr:row>
      <xdr:rowOff>490010</xdr:rowOff>
    </xdr:from>
    <xdr:to>
      <xdr:col>1</xdr:col>
      <xdr:colOff>4866359</xdr:colOff>
      <xdr:row>2</xdr:row>
      <xdr:rowOff>15411</xdr:rowOff>
    </xdr:to>
    <xdr:sp macro="" textlink="">
      <xdr:nvSpPr>
        <xdr:cNvPr id="63" name="текст_ЗаголовокКурса" descr="Используйте мастер функций">
          <a:extLst>
            <a:ext uri="{FF2B5EF4-FFF2-40B4-BE49-F238E27FC236}">
              <a16:creationId xmlns:a16="http://schemas.microsoft.com/office/drawing/2014/main" id="{83AD9D65-6832-4C8D-9DD3-D366BF3EAA96}"/>
            </a:ext>
          </a:extLst>
        </xdr:cNvPr>
        <xdr:cNvSpPr txBox="1"/>
      </xdr:nvSpPr>
      <xdr:spPr>
        <a:xfrm>
          <a:off x="567653" y="490010"/>
          <a:ext cx="5165481" cy="477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22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Используйте мастер функций</a:t>
          </a:r>
        </a:p>
      </xdr:txBody>
    </xdr:sp>
    <xdr:clientData/>
  </xdr:twoCellAnchor>
  <xdr:twoCellAnchor>
    <xdr:from>
      <xdr:col>0</xdr:col>
      <xdr:colOff>567653</xdr:colOff>
      <xdr:row>2</xdr:row>
      <xdr:rowOff>105836</xdr:rowOff>
    </xdr:from>
    <xdr:to>
      <xdr:col>1</xdr:col>
      <xdr:colOff>4863004</xdr:colOff>
      <xdr:row>2</xdr:row>
      <xdr:rowOff>105836</xdr:rowOff>
    </xdr:to>
    <xdr:cxnSp macro="">
      <xdr:nvCxnSpPr>
        <xdr:cNvPr id="64" name="текст_Курсстрока1" descr="Декоративная линия">
          <a:extLst>
            <a:ext uri="{FF2B5EF4-FFF2-40B4-BE49-F238E27FC236}">
              <a16:creationId xmlns:a16="http://schemas.microsoft.com/office/drawing/2014/main" id="{D8FD096E-9957-4C96-9E24-BC15AE704466}"/>
            </a:ext>
          </a:extLst>
        </xdr:cNvPr>
        <xdr:cNvCxnSpPr>
          <a:cxnSpLocks/>
        </xdr:cNvCxnSpPr>
      </xdr:nvCxnSpPr>
      <xdr:spPr>
        <a:xfrm>
          <a:off x="567653" y="1058336"/>
          <a:ext cx="5162126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567653</xdr:colOff>
      <xdr:row>31</xdr:row>
      <xdr:rowOff>136956</xdr:rowOff>
    </xdr:from>
    <xdr:to>
      <xdr:col>1</xdr:col>
      <xdr:colOff>4863004</xdr:colOff>
      <xdr:row>31</xdr:row>
      <xdr:rowOff>136956</xdr:rowOff>
    </xdr:to>
    <xdr:cxnSp macro="">
      <xdr:nvCxnSpPr>
        <xdr:cNvPr id="65" name="текст_Курсстрока2" descr="Декоративная линия">
          <a:extLst>
            <a:ext uri="{FF2B5EF4-FFF2-40B4-BE49-F238E27FC236}">
              <a16:creationId xmlns:a16="http://schemas.microsoft.com/office/drawing/2014/main" id="{8AE36029-DE43-4E7F-9235-7AED0D64959D}"/>
            </a:ext>
          </a:extLst>
        </xdr:cNvPr>
        <xdr:cNvCxnSpPr>
          <a:cxnSpLocks/>
        </xdr:cNvCxnSpPr>
      </xdr:nvCxnSpPr>
      <xdr:spPr>
        <a:xfrm>
          <a:off x="567653" y="6642531"/>
          <a:ext cx="5162126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564488</xdr:colOff>
      <xdr:row>2</xdr:row>
      <xdr:rowOff>137395</xdr:rowOff>
    </xdr:from>
    <xdr:to>
      <xdr:col>1</xdr:col>
      <xdr:colOff>4863194</xdr:colOff>
      <xdr:row>5</xdr:row>
      <xdr:rowOff>43796</xdr:rowOff>
    </xdr:to>
    <xdr:sp macro="" textlink="">
      <xdr:nvSpPr>
        <xdr:cNvPr id="66" name="текст_КурсВведение" descr="Если вы знаете имя функции, но не помните, как ее вводить, воспользуйтесь мастером функций.">
          <a:extLst>
            <a:ext uri="{FF2B5EF4-FFF2-40B4-BE49-F238E27FC236}">
              <a16:creationId xmlns:a16="http://schemas.microsoft.com/office/drawing/2014/main" id="{FABEC59D-5AEA-4C46-9000-A7FA99F54DC2}"/>
            </a:ext>
          </a:extLst>
        </xdr:cNvPr>
        <xdr:cNvSpPr txBox="1"/>
      </xdr:nvSpPr>
      <xdr:spPr>
        <a:xfrm>
          <a:off x="564488" y="1089895"/>
          <a:ext cx="5165481" cy="477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Если вы знаете имя функции, но не помните, как ее вводить, воспользуйтесь мастером функций.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576262</xdr:colOff>
      <xdr:row>5</xdr:row>
      <xdr:rowOff>57139</xdr:rowOff>
    </xdr:from>
    <xdr:to>
      <xdr:col>1</xdr:col>
      <xdr:colOff>5105399</xdr:colOff>
      <xdr:row>9</xdr:row>
      <xdr:rowOff>180975</xdr:rowOff>
    </xdr:to>
    <xdr:grpSp>
      <xdr:nvGrpSpPr>
        <xdr:cNvPr id="67" name="группа_Шаг">
          <a:extLst>
            <a:ext uri="{FF2B5EF4-FFF2-40B4-BE49-F238E27FC236}">
              <a16:creationId xmlns:a16="http://schemas.microsoft.com/office/drawing/2014/main" id="{BD77C92C-5C36-46AE-A637-B10B8A476780}"/>
            </a:ext>
          </a:extLst>
        </xdr:cNvPr>
        <xdr:cNvGrpSpPr/>
      </xdr:nvGrpSpPr>
      <xdr:grpSpPr>
        <a:xfrm>
          <a:off x="576262" y="1581139"/>
          <a:ext cx="5395912" cy="885836"/>
          <a:chOff x="647700" y="7419975"/>
          <a:chExt cx="5491034" cy="847895"/>
        </a:xfrm>
      </xdr:grpSpPr>
      <xdr:sp macro="" textlink="">
        <xdr:nvSpPr>
          <xdr:cNvPr id="68" name="текст_Шаг" descr="Выделите ячейку D16, выберите «Формулы» &gt; «Вставить функцию», введите «ВПР» в поле поиска и нажмите кнопку «Найти». Когда функция ВПР будет выделена, нажмите кнопку «ОК» внизу. Когда вы выбираете функцию в списке, Excel отображает ее синтаксис.&#10;">
            <a:extLst>
              <a:ext uri="{FF2B5EF4-FFF2-40B4-BE49-F238E27FC236}">
                <a16:creationId xmlns:a16="http://schemas.microsoft.com/office/drawing/2014/main" id="{0532D680-62D3-49C1-A9FC-9F775854E3A9}"/>
              </a:ext>
            </a:extLst>
          </xdr:cNvPr>
          <xdr:cNvSpPr txBox="1"/>
        </xdr:nvSpPr>
        <xdr:spPr>
          <a:xfrm>
            <a:off x="1079356" y="7459922"/>
            <a:ext cx="5059378" cy="8079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Выделите ячейку D10, выберите </a:t>
            </a:r>
            <a:r>
              <a:rPr lang="ru" sz="1100" b="1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Формулы</a:t>
            </a:r>
            <a:r>
              <a:rPr lang="ru" sz="1100" b="0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 &gt; </a:t>
            </a:r>
            <a:r>
              <a:rPr lang="ru" sz="1100" b="1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Вставить функцию</a:t>
            </a:r>
            <a:r>
              <a:rPr lang="ru" sz="1100" b="0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, введите </a:t>
            </a:r>
            <a:r>
              <a:rPr lang="ru" sz="1100" b="1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ВПР</a:t>
            </a:r>
            <a:r>
              <a:rPr lang="ru" sz="1100" b="0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 в поле </a:t>
            </a:r>
            <a:r>
              <a:rPr lang="ru" sz="1100" b="1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Поиск функции</a:t>
            </a:r>
            <a:r>
              <a:rPr lang="ru" sz="11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 </a:t>
            </a:r>
            <a:r>
              <a:rPr lang="ru" sz="1100" b="0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и нажмите кнопку </a:t>
            </a:r>
            <a:r>
              <a:rPr lang="ru" sz="1100" b="1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Найти</a:t>
            </a:r>
            <a:r>
              <a:rPr lang="ru" sz="1100" b="0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. Когда функция </a:t>
            </a:r>
            <a:r>
              <a:rPr lang="ru" sz="1100" b="1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ВПР</a:t>
            </a:r>
            <a:r>
              <a:rPr lang="ru" sz="1100" b="0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 будет выделена, нажмите кнопку </a:t>
            </a:r>
            <a:r>
              <a:rPr lang="ru" sz="1100" b="1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ОК</a:t>
            </a:r>
            <a:r>
              <a:rPr lang="ru" sz="1100" b="0" i="0" u="none" strike="noStrike" kern="12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 внизу.</a:t>
            </a:r>
            <a:r>
              <a:rPr lang="ru" sz="110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Когда вы выбираете функцию в </a:t>
            </a:r>
            <a:r>
              <a:rPr lang="ru" sz="110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списке, Excel отображает ее синтаксис.</a:t>
            </a: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9" name="фигура_Шаг" descr="1">
            <a:extLst>
              <a:ext uri="{FF2B5EF4-FFF2-40B4-BE49-F238E27FC236}">
                <a16:creationId xmlns:a16="http://schemas.microsoft.com/office/drawing/2014/main" id="{215648BB-0134-4C42-A6F9-AC13CE6B572C}"/>
              </a:ext>
            </a:extLst>
          </xdr:cNvPr>
          <xdr:cNvSpPr/>
        </xdr:nvSpPr>
        <xdr:spPr>
          <a:xfrm>
            <a:off x="647700" y="7419975"/>
            <a:ext cx="394065" cy="349280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1</a:t>
            </a:r>
          </a:p>
        </xdr:txBody>
      </xdr:sp>
    </xdr:grpSp>
    <xdr:clientData/>
  </xdr:twoCellAnchor>
  <xdr:twoCellAnchor>
    <xdr:from>
      <xdr:col>0</xdr:col>
      <xdr:colOff>576262</xdr:colOff>
      <xdr:row>10</xdr:row>
      <xdr:rowOff>80970</xdr:rowOff>
    </xdr:from>
    <xdr:to>
      <xdr:col>1</xdr:col>
      <xdr:colOff>4905374</xdr:colOff>
      <xdr:row>15</xdr:row>
      <xdr:rowOff>180979</xdr:rowOff>
    </xdr:to>
    <xdr:grpSp>
      <xdr:nvGrpSpPr>
        <xdr:cNvPr id="71" name="группа_Шаг">
          <a:extLst>
            <a:ext uri="{FF2B5EF4-FFF2-40B4-BE49-F238E27FC236}">
              <a16:creationId xmlns:a16="http://schemas.microsoft.com/office/drawing/2014/main" id="{BF405A0F-7FA6-4E62-A4D2-D48FD5B37F21}"/>
            </a:ext>
          </a:extLst>
        </xdr:cNvPr>
        <xdr:cNvGrpSpPr/>
      </xdr:nvGrpSpPr>
      <xdr:grpSpPr>
        <a:xfrm>
          <a:off x="576262" y="2576520"/>
          <a:ext cx="5195887" cy="1062034"/>
          <a:chOff x="609600" y="7810500"/>
          <a:chExt cx="5186234" cy="1045333"/>
        </a:xfrm>
      </xdr:grpSpPr>
      <xdr:sp macro="" textlink="">
        <xdr:nvSpPr>
          <xdr:cNvPr id="72" name="текст_Шаг" descr="Затем вы можете ввести аргументы функции в соответствующие текстовые поля. При вводе каждого аргумента Excel обработает его и покажет результат. Внизу окна выводится окончательный результат. При вводе каждой части формулы условия для каждого аргумента указываются в нижней части формы.  Когда вы закончите работу, нажмите клавишу «ОК», и Excel введет формулу.&#10;&#10;">
            <a:extLst>
              <a:ext uri="{FF2B5EF4-FFF2-40B4-BE49-F238E27FC236}">
                <a16:creationId xmlns:a16="http://schemas.microsoft.com/office/drawing/2014/main" id="{A358580A-E770-426C-AC4A-D3576DB6F54D}"/>
              </a:ext>
            </a:extLst>
          </xdr:cNvPr>
          <xdr:cNvSpPr txBox="1"/>
        </xdr:nvSpPr>
        <xdr:spPr>
          <a:xfrm>
            <a:off x="1017295" y="7852458"/>
            <a:ext cx="4778539" cy="10033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Затем вы можете ввести аргументы функции в соответствующие текстовые поля. При вводе каждого аргумента Excel обработает его и покажет результат. Внизу окна выводится окончательный результат. Когда вы закончите работу, нажмите клавишу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ОК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, и Excel введет формулу.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73" name="фигура_Шаг" descr="2">
            <a:extLst>
              <a:ext uri="{FF2B5EF4-FFF2-40B4-BE49-F238E27FC236}">
                <a16:creationId xmlns:a16="http://schemas.microsoft.com/office/drawing/2014/main" id="{C005430B-3DD1-4151-A947-1D4633E6F168}"/>
              </a:ext>
            </a:extLst>
          </xdr:cNvPr>
          <xdr:cNvSpPr/>
        </xdr:nvSpPr>
        <xdr:spPr>
          <a:xfrm>
            <a:off x="609600" y="7810500"/>
            <a:ext cx="372191" cy="366863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2</a:t>
            </a:r>
          </a:p>
        </xdr:txBody>
      </xdr:sp>
    </xdr:grpSp>
    <xdr:clientData/>
  </xdr:twoCellAnchor>
  <xdr:twoCellAnchor editAs="absolute">
    <xdr:from>
      <xdr:col>0</xdr:col>
      <xdr:colOff>561974</xdr:colOff>
      <xdr:row>32</xdr:row>
      <xdr:rowOff>128589</xdr:rowOff>
    </xdr:from>
    <xdr:to>
      <xdr:col>1</xdr:col>
      <xdr:colOff>970369</xdr:colOff>
      <xdr:row>34</xdr:row>
      <xdr:rowOff>83038</xdr:rowOff>
    </xdr:to>
    <xdr:sp macro="" textlink="">
      <xdr:nvSpPr>
        <xdr:cNvPr id="74" name="Кнопка«Назад»" descr="Вернуться на предыдущий лист">
          <a:hlinkClick xmlns:r="http://schemas.openxmlformats.org/officeDocument/2006/relationships" r:id="rId9" tooltip="Щелкните здесь, чтобы вернуться на предыдущий лист"/>
          <a:extLst>
            <a:ext uri="{FF2B5EF4-FFF2-40B4-BE49-F238E27FC236}">
              <a16:creationId xmlns:a16="http://schemas.microsoft.com/office/drawing/2014/main" id="{5E40797B-36B9-4C1B-9AE0-EA6AD5EEF027}"/>
            </a:ext>
          </a:extLst>
        </xdr:cNvPr>
        <xdr:cNvSpPr/>
      </xdr:nvSpPr>
      <xdr:spPr>
        <a:xfrm flipH="1">
          <a:off x="561974" y="6824664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1</xdr:col>
      <xdr:colOff>3646535</xdr:colOff>
      <xdr:row>32</xdr:row>
      <xdr:rowOff>128589</xdr:rowOff>
    </xdr:from>
    <xdr:to>
      <xdr:col>1</xdr:col>
      <xdr:colOff>4921705</xdr:colOff>
      <xdr:row>34</xdr:row>
      <xdr:rowOff>83038</xdr:rowOff>
    </xdr:to>
    <xdr:sp macro="" textlink="">
      <xdr:nvSpPr>
        <xdr:cNvPr id="75" name="Кнопка«Далее»" descr="Перейти к следующему листу">
          <a:hlinkClick xmlns:r="http://schemas.openxmlformats.org/officeDocument/2006/relationships" r:id="rId10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1C0B3F5D-086A-4A30-A12D-A0A3DB6D24E2}"/>
            </a:ext>
          </a:extLst>
        </xdr:cNvPr>
        <xdr:cNvSpPr/>
      </xdr:nvSpPr>
      <xdr:spPr>
        <a:xfrm>
          <a:off x="4513310" y="6824664"/>
          <a:ext cx="1275170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oneCell">
    <xdr:from>
      <xdr:col>1</xdr:col>
      <xdr:colOff>354574</xdr:colOff>
      <xdr:row>16</xdr:row>
      <xdr:rowOff>114300</xdr:rowOff>
    </xdr:from>
    <xdr:to>
      <xdr:col>1</xdr:col>
      <xdr:colOff>4731775</xdr:colOff>
      <xdr:row>30</xdr:row>
      <xdr:rowOff>20793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7EE5AD6-DE34-4A7F-A5A8-829E51443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349" y="3762375"/>
          <a:ext cx="4377201" cy="2573493"/>
        </a:xfrm>
        <a:prstGeom prst="rect">
          <a:avLst/>
        </a:prstGeom>
      </xdr:spPr>
    </xdr:pic>
    <xdr:clientData/>
  </xdr:twoCellAnchor>
  <xdr:twoCellAnchor>
    <xdr:from>
      <xdr:col>1</xdr:col>
      <xdr:colOff>1544364</xdr:colOff>
      <xdr:row>17</xdr:row>
      <xdr:rowOff>56854</xdr:rowOff>
    </xdr:from>
    <xdr:to>
      <xdr:col>6</xdr:col>
      <xdr:colOff>571500</xdr:colOff>
      <xdr:row>36</xdr:row>
      <xdr:rowOff>153862</xdr:rowOff>
    </xdr:to>
    <xdr:grpSp>
      <xdr:nvGrpSpPr>
        <xdr:cNvPr id="8" name="Группа 7">
          <a:extLst>
            <a:ext uri="{FF2B5EF4-FFF2-40B4-BE49-F238E27FC236}">
              <a16:creationId xmlns:a16="http://schemas.microsoft.com/office/drawing/2014/main" id="{8F43BB86-459B-4A39-BF41-D15966065CB8}"/>
            </a:ext>
          </a:extLst>
        </xdr:cNvPr>
        <xdr:cNvGrpSpPr/>
      </xdr:nvGrpSpPr>
      <xdr:grpSpPr>
        <a:xfrm>
          <a:off x="2411139" y="3895429"/>
          <a:ext cx="7523436" cy="3716508"/>
          <a:chOff x="2411139" y="6952954"/>
          <a:chExt cx="7523436" cy="3716508"/>
        </a:xfrm>
      </xdr:grpSpPr>
      <xdr:grpSp>
        <xdr:nvGrpSpPr>
          <xdr:cNvPr id="96" name="Группа 95">
            <a:extLst>
              <a:ext uri="{FF2B5EF4-FFF2-40B4-BE49-F238E27FC236}">
                <a16:creationId xmlns:a16="http://schemas.microsoft.com/office/drawing/2014/main" id="{577BB227-C2B4-49F0-A57F-186EA94E85EE}"/>
              </a:ext>
            </a:extLst>
          </xdr:cNvPr>
          <xdr:cNvGrpSpPr/>
        </xdr:nvGrpSpPr>
        <xdr:grpSpPr>
          <a:xfrm>
            <a:off x="2733674" y="6952954"/>
            <a:ext cx="6924676" cy="1721004"/>
            <a:chOff x="2895600" y="6567190"/>
            <a:chExt cx="6924676" cy="1721004"/>
          </a:xfrm>
        </xdr:grpSpPr>
        <xdr:grpSp>
          <xdr:nvGrpSpPr>
            <xdr:cNvPr id="97" name="ПОЛЕЗНЫЕ СВЕДЕНИЯ" descr="ПОЛЕЗНЫЕ СВЕДЕНИЯ&#10;&#10;">
              <a:extLst>
                <a:ext uri="{FF2B5EF4-FFF2-40B4-BE49-F238E27FC236}">
                  <a16:creationId xmlns:a16="http://schemas.microsoft.com/office/drawing/2014/main" id="{FC9A679E-BCF4-47F2-9013-DDD119FE3134}"/>
                </a:ext>
              </a:extLst>
            </xdr:cNvPr>
            <xdr:cNvGrpSpPr/>
          </xdr:nvGrpSpPr>
          <xdr:grpSpPr>
            <a:xfrm>
              <a:off x="6391276" y="6567190"/>
              <a:ext cx="3429000" cy="1721004"/>
              <a:chOff x="6778625" y="15564811"/>
              <a:chExt cx="3538099" cy="1653047"/>
            </a:xfrm>
          </xdr:grpSpPr>
          <xdr:pic>
            <xdr:nvPicPr>
              <xdr:cNvPr id="100" name="Графический объект 147" descr="Очки">
                <a:extLst>
                  <a:ext uri="{FF2B5EF4-FFF2-40B4-BE49-F238E27FC236}">
                    <a16:creationId xmlns:a16="http://schemas.microsoft.com/office/drawing/2014/main" id="{5453A0B2-78C5-4344-8F52-8FD3B6FD4BF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>
                <a:extLs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6778625" y="15564811"/>
                <a:ext cx="323347" cy="349115"/>
              </a:xfrm>
              <a:prstGeom prst="rect">
                <a:avLst/>
              </a:prstGeom>
            </xdr:spPr>
          </xdr:pic>
          <xdr:sp macro="" textlink="">
            <xdr:nvSpPr>
              <xdr:cNvPr id="99" name="Шаг" descr="ПОЛЕЗНЫЕ СВЕДЕНИЯ&#10;Вы можете ввести ссылки на ячейки и диапазоны или выбрать их с помощью мыши.&#10;&#10;">
                <a:extLst>
                  <a:ext uri="{FF2B5EF4-FFF2-40B4-BE49-F238E27FC236}">
                    <a16:creationId xmlns:a16="http://schemas.microsoft.com/office/drawing/2014/main" id="{F0AD040B-5C25-478A-B090-2BEE04AE7896}"/>
                  </a:ext>
                </a:extLst>
              </xdr:cNvPr>
              <xdr:cNvSpPr txBox="1"/>
            </xdr:nvSpPr>
            <xdr:spPr>
              <a:xfrm>
                <a:off x="7033130" y="15592258"/>
                <a:ext cx="3283594" cy="1625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lvl="0" rtl="0">
                  <a:defRPr/>
                </a:pPr>
                <a:r>
                  <a:rPr lang="ru" sz="1200" b="1" kern="0">
                    <a:solidFill>
                      <a:srgbClr val="ED7D31">
                        <a:lumMod val="60000"/>
                        <a:lumOff val="40000"/>
                      </a:srgbClr>
                    </a:solidFill>
                    <a:latin typeface="+mj-lt"/>
                    <a:ea typeface="Segoe UI" pitchFamily="34" charset="0"/>
                    <a:cs typeface="Segoe UI Light" panose="020B0502040204020203" pitchFamily="34" charset="0"/>
                  </a:rPr>
                  <a:t>ПОЛЕЗНЫЕ СВЕДЕНИЯ</a:t>
                </a:r>
                <a:endParaRPr lang="en-US" sz="1200" b="1">
                  <a:solidFill>
                    <a:srgbClr val="ED7D31">
                      <a:lumMod val="60000"/>
                      <a:lumOff val="40000"/>
                    </a:srgbClr>
                  </a:solidFill>
                  <a:latin typeface="+mj-lt"/>
                  <a:ea typeface="Segoe UI" pitchFamily="34" charset="0"/>
                  <a:cs typeface="Segoe UI Light" panose="020B0502040204020203" pitchFamily="34" charset="0"/>
                </a:endParaRPr>
              </a:p>
              <a:p>
                <a:pPr rtl="0" eaLnBrk="1" fontAlgn="auto" latinLnBrk="0" hangingPunct="1"/>
                <a:r>
                  <a:rPr lang="ru" sz="1100" b="0" i="0" kern="1200" baseline="0">
                    <a:solidFill>
                      <a:schemeClr val="dk1"/>
                    </a:solidFill>
                    <a:effectLst/>
                    <a:latin typeface="+mn-lt"/>
                    <a:ea typeface="+mn-ea"/>
                    <a:cs typeface="+mn-cs"/>
                  </a:rPr>
                  <a:t>Вы можете ввести ссылки на ячейки и диапазоны или выбрать их с помощью мыши.</a:t>
                </a:r>
                <a:endParaRPr lang="en-US" sz="1100">
                  <a:effectLst/>
                  <a:latin typeface="+mn-lt"/>
                </a:endParaRPr>
              </a:p>
            </xdr:txBody>
          </xdr:sp>
        </xdr:grpSp>
        <xdr:cxnSp macro="">
          <xdr:nvCxnSpPr>
            <xdr:cNvPr id="98" name="Соединительная линия: Кривая 97">
              <a:extLst>
                <a:ext uri="{FF2B5EF4-FFF2-40B4-BE49-F238E27FC236}">
                  <a16:creationId xmlns:a16="http://schemas.microsoft.com/office/drawing/2014/main" id="{0CC08E43-E456-4C6F-8248-9D4BC059339B}"/>
                </a:ext>
              </a:extLst>
            </xdr:cNvPr>
            <xdr:cNvCxnSpPr/>
          </xdr:nvCxnSpPr>
          <xdr:spPr>
            <a:xfrm rot="10800000" flipV="1">
              <a:off x="2895600" y="6715123"/>
              <a:ext cx="3409950" cy="285751"/>
            </a:xfrm>
            <a:prstGeom prst="curvedConnector3">
              <a:avLst>
                <a:gd name="adj1" fmla="val 100000"/>
              </a:avLst>
            </a:pr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triangl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cxnSp>
      </xdr:grpSp>
      <xdr:grpSp>
        <xdr:nvGrpSpPr>
          <xdr:cNvPr id="101" name="ПОЛЕЗНЫЕ СВЕДЕНИЯ" descr="ПОЛЕЗНЫЕ СВЕДЕНИЯ&#10;&#10;">
            <a:extLst>
              <a:ext uri="{FF2B5EF4-FFF2-40B4-BE49-F238E27FC236}">
                <a16:creationId xmlns:a16="http://schemas.microsoft.com/office/drawing/2014/main" id="{822A9B89-A4CF-41F0-9CCC-5CA5434235A5}"/>
              </a:ext>
            </a:extLst>
          </xdr:cNvPr>
          <xdr:cNvGrpSpPr/>
        </xdr:nvGrpSpPr>
        <xdr:grpSpPr>
          <a:xfrm>
            <a:off x="2411139" y="8673756"/>
            <a:ext cx="7523436" cy="1995706"/>
            <a:chOff x="2779964" y="15904785"/>
            <a:chExt cx="6772887" cy="1916900"/>
          </a:xfrm>
        </xdr:grpSpPr>
        <xdr:pic>
          <xdr:nvPicPr>
            <xdr:cNvPr id="103" name="Графический объект 147" descr="Очки">
              <a:extLst>
                <a:ext uri="{FF2B5EF4-FFF2-40B4-BE49-F238E27FC236}">
                  <a16:creationId xmlns:a16="http://schemas.microsoft.com/office/drawing/2014/main" id="{EFFF6D28-D18B-4B89-936E-DF6191BD0EB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6120676" y="16196085"/>
              <a:ext cx="323347" cy="349115"/>
            </a:xfrm>
            <a:prstGeom prst="rect">
              <a:avLst/>
            </a:prstGeom>
          </xdr:spPr>
        </xdr:pic>
        <xdr:sp macro="" textlink="">
          <xdr:nvSpPr>
            <xdr:cNvPr id="102" name="Шаг" descr="ПОЛЕЗНЫЕ СВЕДЕНИЯ&#10;При вводе каждого аргумента его описание выводится в нижней части формы (над результатом формулы).&#10;">
              <a:extLst>
                <a:ext uri="{FF2B5EF4-FFF2-40B4-BE49-F238E27FC236}">
                  <a16:creationId xmlns:a16="http://schemas.microsoft.com/office/drawing/2014/main" id="{F8A28036-EB7B-47D2-8921-DEDF7787534A}"/>
                </a:ext>
              </a:extLst>
            </xdr:cNvPr>
            <xdr:cNvSpPr txBox="1"/>
          </xdr:nvSpPr>
          <xdr:spPr>
            <a:xfrm>
              <a:off x="6385009" y="16196085"/>
              <a:ext cx="3167842" cy="1625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rtl="0">
                <a:defRPr/>
              </a:pPr>
              <a:r>
                <a:rPr lang="ru" sz="1200" b="1" kern="0">
                  <a:solidFill>
                    <a:srgbClr val="ED7D31">
                      <a:lumMod val="60000"/>
                      <a:lumOff val="40000"/>
                    </a:srgbClr>
                  </a:solidFill>
                  <a:latin typeface="+mj-lt"/>
                  <a:ea typeface="Segoe UI" pitchFamily="34" charset="0"/>
                  <a:cs typeface="Segoe UI Light" panose="020B0502040204020203" pitchFamily="34" charset="0"/>
                </a:rPr>
                <a:t>ПОЛЕЗНЫЕ СВЕДЕНИЯ</a:t>
              </a:r>
              <a:endParaRPr lang="en-US" sz="1200" b="1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endParaRPr>
            </a:p>
            <a:p>
              <a:pPr rtl="0" eaLnBrk="1" fontAlgn="auto" latinLnBrk="0" hangingPunct="1"/>
              <a:r>
                <a:rPr lang="ru" sz="1100" b="0" i="0" kern="12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При вводе каждого аргумента его описание выводится в нижней части формы (над результатом формулы).</a:t>
              </a:r>
              <a:endParaRPr lang="en-US" sz="1100">
                <a:effectLst/>
                <a:latin typeface="+mn-lt"/>
              </a:endParaRPr>
            </a:p>
          </xdr:txBody>
        </xdr:sp>
        <xdr:sp macro="" textlink="">
          <xdr:nvSpPr>
            <xdr:cNvPr id="104" name="Полилиния: фигура 103" descr="Стрелка">
              <a:extLst>
                <a:ext uri="{FF2B5EF4-FFF2-40B4-BE49-F238E27FC236}">
                  <a16:creationId xmlns:a16="http://schemas.microsoft.com/office/drawing/2014/main" id="{41D03DA7-0CB4-4D50-87B6-9CBB73CABAAD}"/>
                </a:ext>
              </a:extLst>
            </xdr:cNvPr>
            <xdr:cNvSpPr/>
          </xdr:nvSpPr>
          <xdr:spPr>
            <a:xfrm rot="16200000" flipH="1" flipV="1">
              <a:off x="4551447" y="14133302"/>
              <a:ext cx="284005" cy="3826972"/>
            </a:xfrm>
            <a:custGeom>
              <a:avLst/>
              <a:gdLst>
                <a:gd name="connsiteX0" fmla="*/ 279015 w 279015"/>
                <a:gd name="connsiteY0" fmla="*/ 99249 h 1391008"/>
                <a:gd name="connsiteX1" fmla="*/ 134697 w 279015"/>
                <a:gd name="connsiteY1" fmla="*/ 118492 h 1391008"/>
                <a:gd name="connsiteX2" fmla="*/ 211667 w 279015"/>
                <a:gd name="connsiteY2" fmla="*/ 1282658 h 1391008"/>
                <a:gd name="connsiteX3" fmla="*/ 0 w 279015"/>
                <a:gd name="connsiteY3" fmla="*/ 1340386 h 1391008"/>
                <a:gd name="connsiteX4" fmla="*/ 0 w 279015"/>
                <a:gd name="connsiteY4" fmla="*/ 1340386 h 1391008"/>
                <a:gd name="connsiteX0" fmla="*/ 279015 w 279015"/>
                <a:gd name="connsiteY0" fmla="*/ 32141 h 1310271"/>
                <a:gd name="connsiteX1" fmla="*/ 152422 w 279015"/>
                <a:gd name="connsiteY1" fmla="*/ 244286 h 1310271"/>
                <a:gd name="connsiteX2" fmla="*/ 211667 w 279015"/>
                <a:gd name="connsiteY2" fmla="*/ 1215550 h 1310271"/>
                <a:gd name="connsiteX3" fmla="*/ 0 w 279015"/>
                <a:gd name="connsiteY3" fmla="*/ 1273278 h 1310271"/>
                <a:gd name="connsiteX4" fmla="*/ 0 w 279015"/>
                <a:gd name="connsiteY4" fmla="*/ 1273278 h 1310271"/>
                <a:gd name="connsiteX0" fmla="*/ 279015 w 279015"/>
                <a:gd name="connsiteY0" fmla="*/ 2960 h 1281090"/>
                <a:gd name="connsiteX1" fmla="*/ 152422 w 279015"/>
                <a:gd name="connsiteY1" fmla="*/ 215105 h 1281090"/>
                <a:gd name="connsiteX2" fmla="*/ 211667 w 279015"/>
                <a:gd name="connsiteY2" fmla="*/ 1186369 h 1281090"/>
                <a:gd name="connsiteX3" fmla="*/ 0 w 279015"/>
                <a:gd name="connsiteY3" fmla="*/ 1244097 h 1281090"/>
                <a:gd name="connsiteX4" fmla="*/ 0 w 279015"/>
                <a:gd name="connsiteY4" fmla="*/ 1244097 h 128109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79015" h="1281090">
                  <a:moveTo>
                    <a:pt x="279015" y="2960"/>
                  </a:moveTo>
                  <a:cubicBezTo>
                    <a:pt x="162617" y="-10856"/>
                    <a:pt x="163647" y="17870"/>
                    <a:pt x="152422" y="215105"/>
                  </a:cubicBezTo>
                  <a:cubicBezTo>
                    <a:pt x="141197" y="412340"/>
                    <a:pt x="237071" y="1014870"/>
                    <a:pt x="211667" y="1186369"/>
                  </a:cubicBezTo>
                  <a:cubicBezTo>
                    <a:pt x="186263" y="1357868"/>
                    <a:pt x="0" y="1244097"/>
                    <a:pt x="0" y="1244097"/>
                  </a:cubicBezTo>
                  <a:lnTo>
                    <a:pt x="0" y="1244097"/>
                  </a:lnTo>
                </a:path>
              </a:pathLst>
            </a:custGeom>
            <a:noFill/>
            <a:ln w="19050">
              <a:solidFill>
                <a:schemeClr val="accent2">
                  <a:lumMod val="60000"/>
                  <a:lumOff val="40000"/>
                </a:schemeClr>
              </a:solidFill>
              <a:tailEnd type="triangle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 rtl="0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342900</xdr:colOff>
      <xdr:row>0</xdr:row>
      <xdr:rowOff>361950</xdr:rowOff>
    </xdr:from>
    <xdr:to>
      <xdr:col>1</xdr:col>
      <xdr:colOff>5210175</xdr:colOff>
      <xdr:row>53</xdr:row>
      <xdr:rowOff>93750</xdr:rowOff>
    </xdr:to>
    <xdr:sp macro="" textlink="">
      <xdr:nvSpPr>
        <xdr:cNvPr id="49" name="текст_ФонКурса" descr="Фон">
          <a:extLst>
            <a:ext uri="{FF2B5EF4-FFF2-40B4-BE49-F238E27FC236}">
              <a16:creationId xmlns:a16="http://schemas.microsoft.com/office/drawing/2014/main" id="{82635223-B159-4E05-9CEC-2A2F6DF969F2}"/>
            </a:ext>
          </a:extLst>
        </xdr:cNvPr>
        <xdr:cNvSpPr/>
      </xdr:nvSpPr>
      <xdr:spPr>
        <a:xfrm>
          <a:off x="342900" y="361950"/>
          <a:ext cx="5734050" cy="10476000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 rtl="0"/>
          <a:endParaRPr lang="en-US" sz="2200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565153</xdr:colOff>
      <xdr:row>0</xdr:row>
      <xdr:rowOff>457199</xdr:rowOff>
    </xdr:from>
    <xdr:to>
      <xdr:col>1</xdr:col>
      <xdr:colOff>4949822</xdr:colOff>
      <xdr:row>3</xdr:row>
      <xdr:rowOff>146203</xdr:rowOff>
    </xdr:to>
    <xdr:sp macro="" textlink="">
      <xdr:nvSpPr>
        <xdr:cNvPr id="50" name="текст_ЗаголовокКурса" descr="Исправление ошибок в формулах">
          <a:extLst>
            <a:ext uri="{FF2B5EF4-FFF2-40B4-BE49-F238E27FC236}">
              <a16:creationId xmlns:a16="http://schemas.microsoft.com/office/drawing/2014/main" id="{05227845-B4BB-432C-8781-4109C43593D7}"/>
            </a:ext>
          </a:extLst>
        </xdr:cNvPr>
        <xdr:cNvSpPr txBox="1"/>
      </xdr:nvSpPr>
      <xdr:spPr>
        <a:xfrm>
          <a:off x="565153" y="457199"/>
          <a:ext cx="5251444" cy="8320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22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rPr>
            <a:t>Исправление ошибок в формулах</a:t>
          </a:r>
        </a:p>
      </xdr:txBody>
    </xdr:sp>
    <xdr:clientData/>
  </xdr:twoCellAnchor>
  <xdr:twoCellAnchor editAs="absolute">
    <xdr:from>
      <xdr:col>0</xdr:col>
      <xdr:colOff>565153</xdr:colOff>
      <xdr:row>2</xdr:row>
      <xdr:rowOff>76201</xdr:rowOff>
    </xdr:from>
    <xdr:to>
      <xdr:col>1</xdr:col>
      <xdr:colOff>4946626</xdr:colOff>
      <xdr:row>2</xdr:row>
      <xdr:rowOff>76201</xdr:rowOff>
    </xdr:to>
    <xdr:cxnSp macro="">
      <xdr:nvCxnSpPr>
        <xdr:cNvPr id="51" name="текст_Курсстрока1" descr="Декоративная линия">
          <a:extLst>
            <a:ext uri="{FF2B5EF4-FFF2-40B4-BE49-F238E27FC236}">
              <a16:creationId xmlns:a16="http://schemas.microsoft.com/office/drawing/2014/main" id="{667B22D5-9F0D-4C3A-94F4-DCD9CA9B8E5C}"/>
            </a:ext>
          </a:extLst>
        </xdr:cNvPr>
        <xdr:cNvCxnSpPr>
          <a:cxnSpLocks/>
        </xdr:cNvCxnSpPr>
      </xdr:nvCxnSpPr>
      <xdr:spPr>
        <a:xfrm>
          <a:off x="565153" y="1028701"/>
          <a:ext cx="5248248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565153</xdr:colOff>
      <xdr:row>49</xdr:row>
      <xdr:rowOff>144991</xdr:rowOff>
    </xdr:from>
    <xdr:to>
      <xdr:col>1</xdr:col>
      <xdr:colOff>4946626</xdr:colOff>
      <xdr:row>49</xdr:row>
      <xdr:rowOff>144991</xdr:rowOff>
    </xdr:to>
    <xdr:cxnSp macro="">
      <xdr:nvCxnSpPr>
        <xdr:cNvPr id="52" name="текст_Курсстрока2" descr="Декоративная линия">
          <a:extLst>
            <a:ext uri="{FF2B5EF4-FFF2-40B4-BE49-F238E27FC236}">
              <a16:creationId xmlns:a16="http://schemas.microsoft.com/office/drawing/2014/main" id="{B4EB5A39-3087-404B-86D1-9EB6F9D1ABB3}"/>
            </a:ext>
          </a:extLst>
        </xdr:cNvPr>
        <xdr:cNvCxnSpPr>
          <a:cxnSpLocks/>
        </xdr:cNvCxnSpPr>
      </xdr:nvCxnSpPr>
      <xdr:spPr>
        <a:xfrm>
          <a:off x="565153" y="10127191"/>
          <a:ext cx="5248248" cy="0"/>
        </a:xfrm>
        <a:prstGeom prst="line">
          <a:avLst/>
        </a:prstGeom>
        <a:ln w="25400">
          <a:solidFill>
            <a:srgbClr val="2173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571663</xdr:colOff>
      <xdr:row>2</xdr:row>
      <xdr:rowOff>109616</xdr:rowOff>
    </xdr:from>
    <xdr:to>
      <xdr:col>1</xdr:col>
      <xdr:colOff>4956332</xdr:colOff>
      <xdr:row>7</xdr:row>
      <xdr:rowOff>114300</xdr:rowOff>
    </xdr:to>
    <xdr:sp macro="" textlink="">
      <xdr:nvSpPr>
        <xdr:cNvPr id="53" name="текст_КурсВведение" descr="Рано или поздно вам встретится формула с ошибкой, которую Excel обозначает сообщением #ОШИБКА! Ошибки могут быть полезны, так как они указывают на то, что что-то не работает, но иногда их сложно исправить. К счастью, существует несколько решений, которые помогут вам определить причину ошибки и исправить ее.">
          <a:extLst>
            <a:ext uri="{FF2B5EF4-FFF2-40B4-BE49-F238E27FC236}">
              <a16:creationId xmlns:a16="http://schemas.microsoft.com/office/drawing/2014/main" id="{129F9FEB-45A7-4164-9E1F-0EF1DB2D9BC8}"/>
            </a:ext>
          </a:extLst>
        </xdr:cNvPr>
        <xdr:cNvSpPr txBox="1"/>
      </xdr:nvSpPr>
      <xdr:spPr>
        <a:xfrm>
          <a:off x="571663" y="1062116"/>
          <a:ext cx="5251444" cy="9571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rIns="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" sz="1100" b="0" i="0" u="none" strike="noStrike" kern="0" cap="none" spc="0" normalizeH="0" baseline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Рано или поздно вам встретится формула с ошибкой, которую Excel обозначает сообщением #ОШИБКА! Ошибки могут быть полезны, так как они указывают на то, что что-то не работает, но иногда их сложно исправить. К счастью, существует несколько решений, которые помогут вам определить причину ошибки и исправить ее.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666924</xdr:colOff>
      <xdr:row>8</xdr:row>
      <xdr:rowOff>19050</xdr:rowOff>
    </xdr:from>
    <xdr:to>
      <xdr:col>1</xdr:col>
      <xdr:colOff>5039317</xdr:colOff>
      <xdr:row>15</xdr:row>
      <xdr:rowOff>76200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A8B5C958-0EB2-41E2-B876-52C03CDCE6CA}"/>
            </a:ext>
          </a:extLst>
        </xdr:cNvPr>
        <xdr:cNvGrpSpPr/>
      </xdr:nvGrpSpPr>
      <xdr:grpSpPr>
        <a:xfrm>
          <a:off x="666924" y="2124075"/>
          <a:ext cx="5239168" cy="1419225"/>
          <a:chOff x="571500" y="1924050"/>
          <a:chExt cx="5229626" cy="1419225"/>
        </a:xfrm>
      </xdr:grpSpPr>
      <xdr:sp macro="" textlink="">
        <xdr:nvSpPr>
          <xdr:cNvPr id="55" name="текст_Шаг" descr="Проверка ошибок: выберите «Формулы» &gt; «Проверка ошибок». Откроется диалоговое окно, в котором указана общая причина ошибки. Ошибка #Н/Д в ячейке D9 вызвана отсутствием значения «Яблоко». Вы можете исправить ошибку, указав существующее значение, скрыть ее, используя функцию ЕСЛИОШИБКА, или проигнорировать ошибку, так как она исчезнет, когда вы введете допустимое значение.">
            <a:extLst>
              <a:ext uri="{FF2B5EF4-FFF2-40B4-BE49-F238E27FC236}">
                <a16:creationId xmlns:a16="http://schemas.microsoft.com/office/drawing/2014/main" id="{4AE4624F-481E-4B9E-ABC2-5B221D8CD197}"/>
              </a:ext>
            </a:extLst>
          </xdr:cNvPr>
          <xdr:cNvSpPr txBox="1"/>
        </xdr:nvSpPr>
        <xdr:spPr>
          <a:xfrm>
            <a:off x="991382" y="1966008"/>
            <a:ext cx="4809744" cy="13772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Проверка ошибок: выберите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Формулы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&gt;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Проверка ошибок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 Откроется диалоговое окно, в котором указана общая причина ошибки. Ошибка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#Н/Д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в ячейке D9 вызвана отсутствием значения «Яблоко». Вы можете исправить ошибку, указав существующее значение, скрыть ее, используя функцию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ЕСЛИОШИБКА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, или проигнорировать ошибку, так как она исчезнет, когда вы введете допустимое значение.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56" name="фигура_Шаг" descr="1">
            <a:extLst>
              <a:ext uri="{FF2B5EF4-FFF2-40B4-BE49-F238E27FC236}">
                <a16:creationId xmlns:a16="http://schemas.microsoft.com/office/drawing/2014/main" id="{43E4B612-0808-41AF-A8A5-FADFD6E77931}"/>
              </a:ext>
            </a:extLst>
          </xdr:cNvPr>
          <xdr:cNvSpPr/>
        </xdr:nvSpPr>
        <xdr:spPr>
          <a:xfrm>
            <a:off x="571500" y="1924050"/>
            <a:ext cx="374621" cy="366863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1</a:t>
            </a:r>
          </a:p>
        </xdr:txBody>
      </xdr:sp>
    </xdr:grpSp>
    <xdr:clientData/>
  </xdr:twoCellAnchor>
  <xdr:twoCellAnchor editAs="absolute">
    <xdr:from>
      <xdr:col>0</xdr:col>
      <xdr:colOff>848021</xdr:colOff>
      <xdr:row>16</xdr:row>
      <xdr:rowOff>31491</xdr:rowOff>
    </xdr:from>
    <xdr:to>
      <xdr:col>1</xdr:col>
      <xdr:colOff>4705055</xdr:colOff>
      <xdr:row>25</xdr:row>
      <xdr:rowOff>25420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121223C-B7FB-4B99-8610-9DBF2265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021" y="3689091"/>
          <a:ext cx="4723809" cy="1708429"/>
        </a:xfrm>
        <a:prstGeom prst="rect">
          <a:avLst/>
        </a:prstGeom>
      </xdr:spPr>
    </xdr:pic>
    <xdr:clientData/>
  </xdr:twoCellAnchor>
  <xdr:twoCellAnchor editAs="absolute">
    <xdr:from>
      <xdr:col>0</xdr:col>
      <xdr:colOff>666924</xdr:colOff>
      <xdr:row>25</xdr:row>
      <xdr:rowOff>189661</xdr:rowOff>
    </xdr:from>
    <xdr:to>
      <xdr:col>1</xdr:col>
      <xdr:colOff>5039317</xdr:colOff>
      <xdr:row>30</xdr:row>
      <xdr:rowOff>133350</xdr:rowOff>
    </xdr:to>
    <xdr:grpSp>
      <xdr:nvGrpSpPr>
        <xdr:cNvPr id="3" name="Группа 2">
          <a:extLst>
            <a:ext uri="{FF2B5EF4-FFF2-40B4-BE49-F238E27FC236}">
              <a16:creationId xmlns:a16="http://schemas.microsoft.com/office/drawing/2014/main" id="{76285975-E71E-42A6-9427-0A2776DA5CC0}"/>
            </a:ext>
          </a:extLst>
        </xdr:cNvPr>
        <xdr:cNvGrpSpPr/>
      </xdr:nvGrpSpPr>
      <xdr:grpSpPr>
        <a:xfrm>
          <a:off x="666924" y="5561761"/>
          <a:ext cx="5239168" cy="896189"/>
          <a:chOff x="571500" y="4957763"/>
          <a:chExt cx="5229626" cy="896189"/>
        </a:xfrm>
      </xdr:grpSpPr>
      <xdr:sp macro="" textlink="">
        <xdr:nvSpPr>
          <xdr:cNvPr id="59" name="текст_Шаг" descr="Если нажать кнопку «Справка по этой ошибке», откроется раздел справки, посвященный сообщению об ошибке. Если щелкнуть «Показать этапы вычисления», появится диалоговое окно вычисления формулы.">
            <a:extLst>
              <a:ext uri="{FF2B5EF4-FFF2-40B4-BE49-F238E27FC236}">
                <a16:creationId xmlns:a16="http://schemas.microsoft.com/office/drawing/2014/main" id="{FF0A2293-1E29-453D-8C23-E342D71BA90C}"/>
              </a:ext>
            </a:extLst>
          </xdr:cNvPr>
          <xdr:cNvSpPr txBox="1"/>
        </xdr:nvSpPr>
        <xdr:spPr>
          <a:xfrm>
            <a:off x="991382" y="4999721"/>
            <a:ext cx="4809744" cy="854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Если нажать кнопку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Справка по этой ошибке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, откроется раздел справки, посвященный сообщению об ошибке. Если щелкнуть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Показать этапы вычисления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, появится диалоговое окно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вычислени</a:t>
            </a:r>
            <a:r>
              <a:rPr lang="ru-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е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формулы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.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0" name="фигура_Шаг" descr="2">
            <a:extLst>
              <a:ext uri="{FF2B5EF4-FFF2-40B4-BE49-F238E27FC236}">
                <a16:creationId xmlns:a16="http://schemas.microsoft.com/office/drawing/2014/main" id="{327670C7-0119-4540-9264-05979CE88199}"/>
              </a:ext>
            </a:extLst>
          </xdr:cNvPr>
          <xdr:cNvSpPr/>
        </xdr:nvSpPr>
        <xdr:spPr>
          <a:xfrm>
            <a:off x="571500" y="4957763"/>
            <a:ext cx="374621" cy="366863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2</a:t>
            </a:r>
          </a:p>
        </xdr:txBody>
      </xdr:sp>
    </xdr:grpSp>
    <xdr:clientData/>
  </xdr:twoCellAnchor>
  <xdr:twoCellAnchor editAs="absolute">
    <xdr:from>
      <xdr:col>0</xdr:col>
      <xdr:colOff>752782</xdr:colOff>
      <xdr:row>30</xdr:row>
      <xdr:rowOff>165848</xdr:rowOff>
    </xdr:from>
    <xdr:to>
      <xdr:col>1</xdr:col>
      <xdr:colOff>4800293</xdr:colOff>
      <xdr:row>44</xdr:row>
      <xdr:rowOff>89319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CDB56BE8-69E3-438A-BE9D-6F5C4BA3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782" y="6490448"/>
          <a:ext cx="4914286" cy="2628571"/>
        </a:xfrm>
        <a:prstGeom prst="rect">
          <a:avLst/>
        </a:prstGeom>
      </xdr:spPr>
    </xdr:pic>
    <xdr:clientData/>
  </xdr:twoCellAnchor>
  <xdr:twoCellAnchor editAs="absolute">
    <xdr:from>
      <xdr:col>0</xdr:col>
      <xdr:colOff>666924</xdr:colOff>
      <xdr:row>44</xdr:row>
      <xdr:rowOff>165848</xdr:rowOff>
    </xdr:from>
    <xdr:to>
      <xdr:col>1</xdr:col>
      <xdr:colOff>5039317</xdr:colOff>
      <xdr:row>49</xdr:row>
      <xdr:rowOff>57150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85545FAE-3743-4F8E-97DB-E0C750FA7DE7}"/>
            </a:ext>
          </a:extLst>
        </xdr:cNvPr>
        <xdr:cNvGrpSpPr/>
      </xdr:nvGrpSpPr>
      <xdr:grpSpPr>
        <a:xfrm>
          <a:off x="666924" y="9195548"/>
          <a:ext cx="5239168" cy="843802"/>
          <a:chOff x="571500" y="8372475"/>
          <a:chExt cx="5229626" cy="834277"/>
        </a:xfrm>
      </xdr:grpSpPr>
      <xdr:sp macro="" textlink="">
        <xdr:nvSpPr>
          <xdr:cNvPr id="63" name="текст_Шаг" descr="При каждом нажатии кнопки «Вычислить» Excel будет обрабатывать одну часть формулы. Даже если Excel не укажет напрямую, в чем ошибка, вы сможете понять, где она возникла.">
            <a:extLst>
              <a:ext uri="{FF2B5EF4-FFF2-40B4-BE49-F238E27FC236}">
                <a16:creationId xmlns:a16="http://schemas.microsoft.com/office/drawing/2014/main" id="{0D6FDE98-287E-402E-9C3F-81CD5951F461}"/>
              </a:ext>
            </a:extLst>
          </xdr:cNvPr>
          <xdr:cNvSpPr txBox="1"/>
        </xdr:nvSpPr>
        <xdr:spPr>
          <a:xfrm>
            <a:off x="991382" y="8414433"/>
            <a:ext cx="4809744" cy="7923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При каждом нажатии кнопки </a:t>
            </a:r>
            <a:r>
              <a:rPr lang="ru" sz="1100" b="1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Вычислить</a:t>
            </a:r>
            <a:r>
              <a:rPr lang="ru" sz="1100" b="0" i="0" u="none" strike="noStrike" kern="0" cap="none" spc="0" normalizeH="0" baseline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uLnTx/>
                <a:uFillTx/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Excel будет обрабатывать одну часть формулы. Даже если Excel не укажет напрямую, в чем ошибка, вы сможете понять, где она возникла. После этого прочтите раздел справки, чтобы понять, что не так с формулой.</a:t>
            </a:r>
          </a:p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4" name="фигура_Шаг" descr="3">
            <a:extLst>
              <a:ext uri="{FF2B5EF4-FFF2-40B4-BE49-F238E27FC236}">
                <a16:creationId xmlns:a16="http://schemas.microsoft.com/office/drawing/2014/main" id="{4C60E600-C8A7-466F-BFAA-56DFFA965DD9}"/>
              </a:ext>
            </a:extLst>
          </xdr:cNvPr>
          <xdr:cNvSpPr/>
        </xdr:nvSpPr>
        <xdr:spPr>
          <a:xfrm>
            <a:off x="571500" y="8372475"/>
            <a:ext cx="374621" cy="366863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ru" sz="1600">
                <a:latin typeface="Segoe UI Semibold" panose="020B0702040204020203" pitchFamily="34" charset="0"/>
                <a:cs typeface="Segoe UI Semibold" panose="020B0702040204020203" pitchFamily="34" charset="0"/>
              </a:rPr>
              <a:t>3</a:t>
            </a:r>
          </a:p>
        </xdr:txBody>
      </xdr:sp>
    </xdr:grpSp>
    <xdr:clientData/>
  </xdr:twoCellAnchor>
  <xdr:twoCellAnchor editAs="absolute">
    <xdr:from>
      <xdr:col>0</xdr:col>
      <xdr:colOff>590550</xdr:colOff>
      <xdr:row>50</xdr:row>
      <xdr:rowOff>127748</xdr:rowOff>
    </xdr:from>
    <xdr:to>
      <xdr:col>1</xdr:col>
      <xdr:colOff>998947</xdr:colOff>
      <xdr:row>52</xdr:row>
      <xdr:rowOff>82197</xdr:rowOff>
    </xdr:to>
    <xdr:sp macro="" textlink="">
      <xdr:nvSpPr>
        <xdr:cNvPr id="65" name="Кнопка«Назад»" descr="Вернуться на предыдущий лист">
          <a:hlinkClick xmlns:r="http://schemas.openxmlformats.org/officeDocument/2006/relationships" r:id="rId3" tooltip="Щелкните здесь, чтобы вернуться на предыдущий лист"/>
          <a:extLst>
            <a:ext uri="{FF2B5EF4-FFF2-40B4-BE49-F238E27FC236}">
              <a16:creationId xmlns:a16="http://schemas.microsoft.com/office/drawing/2014/main" id="{59901CBF-662C-46B7-9798-9856B1E5ACCE}"/>
            </a:ext>
          </a:extLst>
        </xdr:cNvPr>
        <xdr:cNvSpPr/>
      </xdr:nvSpPr>
      <xdr:spPr>
        <a:xfrm flipH="1">
          <a:off x="590550" y="10300448"/>
          <a:ext cx="1275172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Назад</a:t>
          </a:r>
        </a:p>
      </xdr:txBody>
    </xdr:sp>
    <xdr:clientData fPrintsWithSheet="0"/>
  </xdr:twoCellAnchor>
  <xdr:twoCellAnchor editAs="absolute">
    <xdr:from>
      <xdr:col>1</xdr:col>
      <xdr:colOff>3669834</xdr:colOff>
      <xdr:row>50</xdr:row>
      <xdr:rowOff>127748</xdr:rowOff>
    </xdr:from>
    <xdr:to>
      <xdr:col>1</xdr:col>
      <xdr:colOff>4945006</xdr:colOff>
      <xdr:row>52</xdr:row>
      <xdr:rowOff>82197</xdr:rowOff>
    </xdr:to>
    <xdr:sp macro="" textlink="">
      <xdr:nvSpPr>
        <xdr:cNvPr id="66" name="Кнопка«Далее»" descr="Перейти к следующему листу">
          <a:hlinkClick xmlns:r="http://schemas.openxmlformats.org/officeDocument/2006/relationships" r:id="rId4" tooltip="Щелкните здесь, чтобы перейти на следующий лист"/>
          <a:extLst>
            <a:ext uri="{FF2B5EF4-FFF2-40B4-BE49-F238E27FC236}">
              <a16:creationId xmlns:a16="http://schemas.microsoft.com/office/drawing/2014/main" id="{A1974C03-9104-44F6-9B95-FBB22D17937B}"/>
            </a:ext>
          </a:extLst>
        </xdr:cNvPr>
        <xdr:cNvSpPr/>
      </xdr:nvSpPr>
      <xdr:spPr>
        <a:xfrm>
          <a:off x="4536609" y="10300448"/>
          <a:ext cx="1275172" cy="335449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ru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Далее</a:t>
          </a:r>
        </a:p>
      </xdr:txBody>
    </xdr:sp>
    <xdr:clientData fPrintsWithSheet="0"/>
  </xdr:twoCellAnchor>
  <xdr:twoCellAnchor editAs="absolute">
    <xdr:from>
      <xdr:col>2</xdr:col>
      <xdr:colOff>876300</xdr:colOff>
      <xdr:row>36</xdr:row>
      <xdr:rowOff>38100</xdr:rowOff>
    </xdr:from>
    <xdr:to>
      <xdr:col>7</xdr:col>
      <xdr:colOff>216957</xdr:colOff>
      <xdr:row>42</xdr:row>
      <xdr:rowOff>46766</xdr:rowOff>
    </xdr:to>
    <xdr:grpSp>
      <xdr:nvGrpSpPr>
        <xdr:cNvPr id="67" name="ЭКСПЕРИМЕНТ" descr="ЭКСПЕРИМЕНТ">
          <a:extLst>
            <a:ext uri="{FF2B5EF4-FFF2-40B4-BE49-F238E27FC236}">
              <a16:creationId xmlns:a16="http://schemas.microsoft.com/office/drawing/2014/main" id="{7AB7F1CB-875F-43B5-84D0-9EF392715E5F}"/>
            </a:ext>
          </a:extLst>
        </xdr:cNvPr>
        <xdr:cNvGrpSpPr/>
      </xdr:nvGrpSpPr>
      <xdr:grpSpPr>
        <a:xfrm>
          <a:off x="7267575" y="7534275"/>
          <a:ext cx="2941107" cy="1161191"/>
          <a:chOff x="6375400" y="12710331"/>
          <a:chExt cx="3768724" cy="1161191"/>
        </a:xfrm>
      </xdr:grpSpPr>
      <xdr:sp macro="" textlink="">
        <xdr:nvSpPr>
          <xdr:cNvPr id="68" name="Шаг" descr="ЭКСПЕРИМЕНТ&#10;В чем тут проблема? Подсказка. Мы пытаемся вычислить СУММУ всех чисел.&#10;&#10;">
            <a:extLst>
              <a:ext uri="{FF2B5EF4-FFF2-40B4-BE49-F238E27FC236}">
                <a16:creationId xmlns:a16="http://schemas.microsoft.com/office/drawing/2014/main" id="{D3EB3534-E4A7-4C41-96B9-1127C7641AFF}"/>
              </a:ext>
            </a:extLst>
          </xdr:cNvPr>
          <xdr:cNvSpPr txBox="1"/>
        </xdr:nvSpPr>
        <xdr:spPr>
          <a:xfrm>
            <a:off x="6607610" y="12923420"/>
            <a:ext cx="3536514" cy="9481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ЭКСПЕРИМЕНТ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lvl="0" rtl="0">
              <a:defRPr/>
            </a:pPr>
            <a:r>
              <a:rPr lang="ru" sz="1100" kern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В чем</a:t>
            </a:r>
            <a:r>
              <a:rPr lang="ru" sz="1100" kern="0" baseline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 тут проблема? Подсказка. Мы пытаемся вычислить </a:t>
            </a:r>
            <a:r>
              <a:rPr lang="ru" sz="1100" b="1" kern="0" baseline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СУММУ</a:t>
            </a:r>
            <a:r>
              <a:rPr lang="ru" sz="1100" kern="0" baseline="0">
                <a:solidFill>
                  <a:schemeClr val="bg2">
                    <a:lumMod val="25000"/>
                  </a:schemeClr>
                </a:solidFill>
                <a:latin typeface="+mn-lt"/>
                <a:ea typeface="Segoe UI" pitchFamily="34" charset="0"/>
                <a:cs typeface="Segoe UI Light" panose="020B0502040204020203" pitchFamily="34" charset="0"/>
              </a:rPr>
              <a:t> всех чисел.</a:t>
            </a:r>
            <a:endParaRPr lang="en-US" sz="1100" kern="0">
              <a:solidFill>
                <a:schemeClr val="bg2">
                  <a:lumMod val="25000"/>
                </a:schemeClr>
              </a:solidFill>
              <a:latin typeface="+mn-lt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69" name="Полилиния: фигура 68" descr="Строка с квадратной скобкой">
            <a:extLst>
              <a:ext uri="{FF2B5EF4-FFF2-40B4-BE49-F238E27FC236}">
                <a16:creationId xmlns:a16="http://schemas.microsoft.com/office/drawing/2014/main" id="{3423E3AF-F954-4862-94A1-D37E0D95C91F}"/>
              </a:ext>
            </a:extLst>
          </xdr:cNvPr>
          <xdr:cNvSpPr/>
        </xdr:nvSpPr>
        <xdr:spPr>
          <a:xfrm rot="5400000">
            <a:off x="7204291" y="12535116"/>
            <a:ext cx="181608" cy="534983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7704" h="207258">
                <a:moveTo>
                  <a:pt x="0" y="193"/>
                </a:moveTo>
                <a:cubicBezTo>
                  <a:pt x="64880" y="-498"/>
                  <a:pt x="129760" y="-1188"/>
                  <a:pt x="157369" y="33323"/>
                </a:cubicBezTo>
                <a:cubicBezTo>
                  <a:pt x="184978" y="67834"/>
                  <a:pt x="146326" y="179649"/>
                  <a:pt x="165652" y="207258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0" name="Полилиния: фигура 69" descr="Строка с квадратной скобкой">
            <a:extLst>
              <a:ext uri="{FF2B5EF4-FFF2-40B4-BE49-F238E27FC236}">
                <a16:creationId xmlns:a16="http://schemas.microsoft.com/office/drawing/2014/main" id="{E531DB5C-8852-4427-93EE-D879198D5D23}"/>
              </a:ext>
            </a:extLst>
          </xdr:cNvPr>
          <xdr:cNvSpPr/>
        </xdr:nvSpPr>
        <xdr:spPr>
          <a:xfrm rot="16200000" flipH="1">
            <a:off x="6553722" y="12534549"/>
            <a:ext cx="183793" cy="535358"/>
          </a:xfrm>
          <a:custGeom>
            <a:avLst/>
            <a:gdLst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4" fmla="*/ 273326 w 273326"/>
              <a:gd name="connsiteY4" fmla="*/ 198976 h 217696"/>
              <a:gd name="connsiteX0" fmla="*/ 0 w 273326"/>
              <a:gd name="connsiteY0" fmla="*/ 193 h 217696"/>
              <a:gd name="connsiteX1" fmla="*/ 157369 w 273326"/>
              <a:gd name="connsiteY1" fmla="*/ 33323 h 217696"/>
              <a:gd name="connsiteX2" fmla="*/ 165652 w 273326"/>
              <a:gd name="connsiteY2" fmla="*/ 207258 h 217696"/>
              <a:gd name="connsiteX3" fmla="*/ 273326 w 273326"/>
              <a:gd name="connsiteY3" fmla="*/ 198976 h 217696"/>
              <a:gd name="connsiteX0" fmla="*/ 0 w 167704"/>
              <a:gd name="connsiteY0" fmla="*/ 193 h 207258"/>
              <a:gd name="connsiteX1" fmla="*/ 157369 w 167704"/>
              <a:gd name="connsiteY1" fmla="*/ 33323 h 207258"/>
              <a:gd name="connsiteX2" fmla="*/ 165652 w 167704"/>
              <a:gd name="connsiteY2" fmla="*/ 207258 h 207258"/>
              <a:gd name="connsiteX0" fmla="*/ 0 w 169722"/>
              <a:gd name="connsiteY0" fmla="*/ 334 h 219894"/>
              <a:gd name="connsiteX1" fmla="*/ 157369 w 169722"/>
              <a:gd name="connsiteY1" fmla="*/ 33464 h 219894"/>
              <a:gd name="connsiteX2" fmla="*/ 169722 w 169722"/>
              <a:gd name="connsiteY2" fmla="*/ 219894 h 2198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69722" h="219894">
                <a:moveTo>
                  <a:pt x="0" y="334"/>
                </a:moveTo>
                <a:cubicBezTo>
                  <a:pt x="64880" y="-357"/>
                  <a:pt x="129082" y="-3129"/>
                  <a:pt x="157369" y="33464"/>
                </a:cubicBezTo>
                <a:cubicBezTo>
                  <a:pt x="185656" y="70057"/>
                  <a:pt x="150396" y="192285"/>
                  <a:pt x="169722" y="219894"/>
                </a:cubicBezTo>
              </a:path>
            </a:pathLst>
          </a:cu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1" name="дуга 70">
            <a:extLst>
              <a:ext uri="{FF2B5EF4-FFF2-40B4-BE49-F238E27FC236}">
                <a16:creationId xmlns:a16="http://schemas.microsoft.com/office/drawing/2014/main" id="{8D097E0F-9121-42A6-893F-237084C044F6}"/>
              </a:ext>
            </a:extLst>
          </xdr:cNvPr>
          <xdr:cNvSpPr/>
        </xdr:nvSpPr>
        <xdr:spPr>
          <a:xfrm>
            <a:off x="6802792" y="12888984"/>
            <a:ext cx="175277" cy="207177"/>
          </a:xfrm>
          <a:prstGeom prst="arc">
            <a:avLst>
              <a:gd name="adj1" fmla="val 15985420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2" name="дуга 71">
            <a:extLst>
              <a:ext uri="{FF2B5EF4-FFF2-40B4-BE49-F238E27FC236}">
                <a16:creationId xmlns:a16="http://schemas.microsoft.com/office/drawing/2014/main" id="{27B18E5F-8500-435E-BC64-93732151EEA9}"/>
              </a:ext>
            </a:extLst>
          </xdr:cNvPr>
          <xdr:cNvSpPr/>
        </xdr:nvSpPr>
        <xdr:spPr>
          <a:xfrm flipH="1">
            <a:off x="6978069" y="12880168"/>
            <a:ext cx="175277" cy="220401"/>
          </a:xfrm>
          <a:prstGeom prst="arc">
            <a:avLst>
              <a:gd name="adj1" fmla="val 17341536"/>
              <a:gd name="adj2" fmla="val 0"/>
            </a:avLst>
          </a:prstGeom>
          <a:noFill/>
          <a:ln w="19050">
            <a:solidFill>
              <a:schemeClr val="accent2">
                <a:lumMod val="60000"/>
                <a:lumOff val="40000"/>
              </a:schemeClr>
            </a:solidFill>
            <a:tailEnd type="none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 rtl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73" name="Графический объект 96" descr="Колба">
            <a:extLst>
              <a:ext uri="{FF2B5EF4-FFF2-40B4-BE49-F238E27FC236}">
                <a16:creationId xmlns:a16="http://schemas.microsoft.com/office/drawing/2014/main" id="{BA618FB1-B2A8-4EDF-ACB2-62D2F62D01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375400" y="13028195"/>
            <a:ext cx="384748" cy="3683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47625</xdr:colOff>
      <xdr:row>24</xdr:row>
      <xdr:rowOff>175932</xdr:rowOff>
    </xdr:from>
    <xdr:to>
      <xdr:col>6</xdr:col>
      <xdr:colOff>495300</xdr:colOff>
      <xdr:row>29</xdr:row>
      <xdr:rowOff>66679</xdr:rowOff>
    </xdr:to>
    <xdr:grpSp>
      <xdr:nvGrpSpPr>
        <xdr:cNvPr id="74" name="ПОЛЕЗНЫЕ СВЕДЕНИЯ" descr="ПОЛЕЗНЫЕ СВЕДЕНИЯ&#10;&#10;">
          <a:extLst>
            <a:ext uri="{FF2B5EF4-FFF2-40B4-BE49-F238E27FC236}">
              <a16:creationId xmlns:a16="http://schemas.microsoft.com/office/drawing/2014/main" id="{31BEE91F-7C0C-4732-BB35-0C8B019C6B03}"/>
            </a:ext>
          </a:extLst>
        </xdr:cNvPr>
        <xdr:cNvGrpSpPr/>
      </xdr:nvGrpSpPr>
      <xdr:grpSpPr>
        <a:xfrm>
          <a:off x="6438900" y="5357532"/>
          <a:ext cx="3438525" cy="843247"/>
          <a:chOff x="6778625" y="15665450"/>
          <a:chExt cx="3547927" cy="809949"/>
        </a:xfrm>
      </xdr:grpSpPr>
      <xdr:sp macro="" textlink="">
        <xdr:nvSpPr>
          <xdr:cNvPr id="75" name="Шаг" descr="ПОЛЕЗНЫЕ СВЕДЕНИЯ&#10;Нажав кнопку «Параметры», можно задать правила отображения или игнорирования ошибок.&#10;&#10;">
            <a:extLst>
              <a:ext uri="{FF2B5EF4-FFF2-40B4-BE49-F238E27FC236}">
                <a16:creationId xmlns:a16="http://schemas.microsoft.com/office/drawing/2014/main" id="{2290844F-0916-4E97-96DF-1467983B55BF}"/>
              </a:ext>
            </a:extLst>
          </xdr:cNvPr>
          <xdr:cNvSpPr txBox="1"/>
        </xdr:nvSpPr>
        <xdr:spPr>
          <a:xfrm>
            <a:off x="7042958" y="15665450"/>
            <a:ext cx="3283594" cy="8099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Segoe UI" pitchFamily="34" charset="0"/>
                <a:cs typeface="Segoe UI Light" panose="020B0502040204020203" pitchFamily="34" charset="0"/>
              </a:rPr>
              <a:t>ПОЛЕЗНЫЕ СВЕДЕНИЯ</a:t>
            </a:r>
            <a:endParaRPr lang="en-US" sz="1200" b="1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Segoe UI" pitchFamily="34" charset="0"/>
              <a:cs typeface="Segoe UI Light" panose="020B0502040204020203" pitchFamily="34" charset="0"/>
            </a:endParaRPr>
          </a:p>
          <a:p>
            <a:pPr rtl="0" eaLnBrk="1" fontAlgn="auto" latinLnBrk="0" hangingPunct="1"/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Нажав кнопку </a:t>
            </a:r>
            <a:r>
              <a:rPr lang="ru" sz="1100" b="1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Параметры</a:t>
            </a:r>
            <a:r>
              <a:rPr lang="ru" sz="1100" b="0" i="0" kern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, можно задать правила отображения или игнорирования ошибок.</a:t>
            </a:r>
            <a:endParaRPr lang="en-US" sz="1100">
              <a:effectLst/>
              <a:latin typeface="+mn-lt"/>
            </a:endParaRPr>
          </a:p>
        </xdr:txBody>
      </xdr:sp>
      <xdr:pic>
        <xdr:nvPicPr>
          <xdr:cNvPr id="76" name="Графический объект 147" descr="Очки">
            <a:extLst>
              <a:ext uri="{FF2B5EF4-FFF2-40B4-BE49-F238E27FC236}">
                <a16:creationId xmlns:a16="http://schemas.microsoft.com/office/drawing/2014/main" id="{73EF64E6-2113-4A2B-A3C1-B2D878C396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778625" y="15665450"/>
            <a:ext cx="323347" cy="34911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933451</xdr:colOff>
      <xdr:row>24</xdr:row>
      <xdr:rowOff>66677</xdr:rowOff>
    </xdr:from>
    <xdr:to>
      <xdr:col>1</xdr:col>
      <xdr:colOff>5495926</xdr:colOff>
      <xdr:row>25</xdr:row>
      <xdr:rowOff>161925</xdr:rowOff>
    </xdr:to>
    <xdr:cxnSp macro="">
      <xdr:nvCxnSpPr>
        <xdr:cNvPr id="77" name="Соединительная линия: кривая 76">
          <a:extLst>
            <a:ext uri="{FF2B5EF4-FFF2-40B4-BE49-F238E27FC236}">
              <a16:creationId xmlns:a16="http://schemas.microsoft.com/office/drawing/2014/main" id="{16767E7F-5A94-4A53-A7E2-81A5EF1897C0}"/>
            </a:ext>
          </a:extLst>
        </xdr:cNvPr>
        <xdr:cNvCxnSpPr/>
      </xdr:nvCxnSpPr>
      <xdr:spPr>
        <a:xfrm rot="10800000">
          <a:off x="1800226" y="5248277"/>
          <a:ext cx="4562475" cy="285748"/>
        </a:xfrm>
        <a:prstGeom prst="curvedConnector3">
          <a:avLst>
            <a:gd name="adj1" fmla="val 55637"/>
          </a:avLst>
        </a:prstGeom>
        <a:noFill/>
        <a:ln w="19050">
          <a:solidFill>
            <a:schemeClr val="accent2">
              <a:lumMod val="60000"/>
              <a:lumOff val="40000"/>
            </a:schemeClr>
          </a:solidFill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0</xdr:col>
      <xdr:colOff>342900</xdr:colOff>
      <xdr:row>53</xdr:row>
      <xdr:rowOff>171449</xdr:rowOff>
    </xdr:from>
    <xdr:to>
      <xdr:col>1</xdr:col>
      <xdr:colOff>5209413</xdr:colOff>
      <xdr:row>66</xdr:row>
      <xdr:rowOff>142949</xdr:rowOff>
    </xdr:to>
    <xdr:grpSp>
      <xdr:nvGrpSpPr>
        <xdr:cNvPr id="78" name="Группа 77">
          <a:extLst>
            <a:ext uri="{FF2B5EF4-FFF2-40B4-BE49-F238E27FC236}">
              <a16:creationId xmlns:a16="http://schemas.microsoft.com/office/drawing/2014/main" id="{340F396F-7EEE-4FE2-8349-58C6AAB22606}"/>
            </a:ext>
          </a:extLst>
        </xdr:cNvPr>
        <xdr:cNvGrpSpPr/>
      </xdr:nvGrpSpPr>
      <xdr:grpSpPr>
        <a:xfrm>
          <a:off x="342900" y="10915649"/>
          <a:ext cx="5733288" cy="2448000"/>
          <a:chOff x="352425" y="10715624"/>
          <a:chExt cx="5733288" cy="2448000"/>
        </a:xfrm>
      </xdr:grpSpPr>
      <xdr:sp macro="" textlink="">
        <xdr:nvSpPr>
          <xdr:cNvPr id="79" name="Прямоугольник 78">
            <a:extLst>
              <a:ext uri="{FF2B5EF4-FFF2-40B4-BE49-F238E27FC236}">
                <a16:creationId xmlns:a16="http://schemas.microsoft.com/office/drawing/2014/main" id="{14D789FA-74C9-492D-A225-7D3C79A2D087}"/>
              </a:ext>
            </a:extLst>
          </xdr:cNvPr>
          <xdr:cNvSpPr/>
        </xdr:nvSpPr>
        <xdr:spPr>
          <a:xfrm>
            <a:off x="352425" y="10715624"/>
            <a:ext cx="5733288" cy="2448000"/>
          </a:xfrm>
          <a:prstGeom prst="rect">
            <a:avLst/>
          </a:prstGeom>
          <a:solidFill>
            <a:srgbClr val="F5F5F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rtl="0"/>
            <a:endParaRPr lang="en-US" sz="1100"/>
          </a:p>
        </xdr:txBody>
      </xdr:sp>
      <xdr:sp macro="" textlink="">
        <xdr:nvSpPr>
          <xdr:cNvPr id="80" name="Шаг" descr="Дополнительные сведения в Интернете&#10;">
            <a:extLst>
              <a:ext uri="{FF2B5EF4-FFF2-40B4-BE49-F238E27FC236}">
                <a16:creationId xmlns:a16="http://schemas.microsoft.com/office/drawing/2014/main" id="{61F2D59C-F26B-49DE-B327-CF19805E2271}"/>
              </a:ext>
            </a:extLst>
          </xdr:cNvPr>
          <xdr:cNvSpPr txBox="1"/>
        </xdr:nvSpPr>
        <xdr:spPr>
          <a:xfrm>
            <a:off x="582507" y="10814879"/>
            <a:ext cx="5220000" cy="394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rIns="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" sz="2200" b="0" i="0" u="none" strike="noStrike" kern="0" cap="none" spc="0" normalizeH="0" baseline="0">
                <a:ln>
                  <a:noFill/>
                </a:ln>
                <a:solidFill>
                  <a:schemeClr val="bg2">
                    <a:lumMod val="25000"/>
                  </a:schemeClr>
                </a:solidFill>
                <a:effectLst/>
                <a:uLnTx/>
                <a:uFillTx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Дополнительные сведения в Интернете</a:t>
            </a:r>
            <a:endParaRPr lang="en-US" sz="2200" b="0">
              <a:solidFill>
                <a:schemeClr val="bg2">
                  <a:lumMod val="25000"/>
                </a:schemeClr>
              </a:solidFill>
              <a:effectLst/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cxnSp macro="">
        <xdr:nvCxnSpPr>
          <xdr:cNvPr id="81" name="Прямая соединительная линия 80" descr="Декоративная линия">
            <a:extLst>
              <a:ext uri="{FF2B5EF4-FFF2-40B4-BE49-F238E27FC236}">
                <a16:creationId xmlns:a16="http://schemas.microsoft.com/office/drawing/2014/main" id="{D78368A3-B0DA-4D56-A2D9-D61314658FEC}"/>
              </a:ext>
            </a:extLst>
          </xdr:cNvPr>
          <xdr:cNvCxnSpPr>
            <a:cxnSpLocks/>
          </xdr:cNvCxnSpPr>
        </xdr:nvCxnSpPr>
        <xdr:spPr>
          <a:xfrm>
            <a:off x="585659" y="11261343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Прямая соединительная линия 81" descr="Декоративная линия">
            <a:extLst>
              <a:ext uri="{FF2B5EF4-FFF2-40B4-BE49-F238E27FC236}">
                <a16:creationId xmlns:a16="http://schemas.microsoft.com/office/drawing/2014/main" id="{9F9DC1E5-92D2-4E32-BCB9-CCE0FAC9C8B2}"/>
              </a:ext>
            </a:extLst>
          </xdr:cNvPr>
          <xdr:cNvCxnSpPr>
            <a:cxnSpLocks/>
          </xdr:cNvCxnSpPr>
        </xdr:nvCxnSpPr>
        <xdr:spPr>
          <a:xfrm>
            <a:off x="585659" y="12951057"/>
            <a:ext cx="5216849" cy="0"/>
          </a:xfrm>
          <a:prstGeom prst="line">
            <a:avLst/>
          </a:prstGeom>
          <a:ln w="25400">
            <a:solidFill>
              <a:srgbClr val="21734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552881</xdr:colOff>
      <xdr:row>56</xdr:row>
      <xdr:rowOff>178519</xdr:rowOff>
    </xdr:from>
    <xdr:to>
      <xdr:col>1</xdr:col>
      <xdr:colOff>2552700</xdr:colOff>
      <xdr:row>58</xdr:row>
      <xdr:rowOff>156598</xdr:rowOff>
    </xdr:to>
    <xdr:grpSp>
      <xdr:nvGrpSpPr>
        <xdr:cNvPr id="83" name="Группа 82">
          <a:extLst>
            <a:ext uri="{FF2B5EF4-FFF2-40B4-BE49-F238E27FC236}">
              <a16:creationId xmlns:a16="http://schemas.microsoft.com/office/drawing/2014/main" id="{1612118D-530C-41CF-BA41-E6AC52C9311F}"/>
            </a:ext>
          </a:extLst>
        </xdr:cNvPr>
        <xdr:cNvGrpSpPr/>
      </xdr:nvGrpSpPr>
      <xdr:grpSpPr>
        <a:xfrm>
          <a:off x="552881" y="11494219"/>
          <a:ext cx="2866594" cy="359079"/>
          <a:chOff x="552881" y="10532194"/>
          <a:chExt cx="2866594" cy="359079"/>
        </a:xfrm>
      </xdr:grpSpPr>
      <xdr:sp macro="" textlink="">
        <xdr:nvSpPr>
          <xdr:cNvPr id="84" name="Шаг" descr="Гиперссылка на веб-страницу о функции ЕСЛИ&#10;&#10;">
            <a:hlinkClick xmlns:r="http://schemas.openxmlformats.org/officeDocument/2006/relationships" r:id="rId9" tooltip="Щелкните, чтобы узнать больше об обнаружении ошибок в формулах"/>
            <a:extLst>
              <a:ext uri="{FF2B5EF4-FFF2-40B4-BE49-F238E27FC236}">
                <a16:creationId xmlns:a16="http://schemas.microsoft.com/office/drawing/2014/main" id="{90EE0485-37C4-4EB9-BF02-1B8540E8892B}"/>
              </a:ext>
            </a:extLst>
          </xdr:cNvPr>
          <xdr:cNvSpPr txBox="1"/>
        </xdr:nvSpPr>
        <xdr:spPr>
          <a:xfrm>
            <a:off x="1018066" y="10606554"/>
            <a:ext cx="2401409" cy="2539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Поиск ошибок в формулах</a:t>
            </a:r>
          </a:p>
        </xdr:txBody>
      </xdr:sp>
      <xdr:pic>
        <xdr:nvPicPr>
          <xdr:cNvPr id="85" name="Графический объект 22" descr="Стрелка">
            <a:hlinkClick xmlns:r="http://schemas.openxmlformats.org/officeDocument/2006/relationships" r:id="rId9" tooltip="Дополнительные сведения в Интернете"/>
            <a:extLst>
              <a:ext uri="{FF2B5EF4-FFF2-40B4-BE49-F238E27FC236}">
                <a16:creationId xmlns:a16="http://schemas.microsoft.com/office/drawing/2014/main" id="{73CC8AF3-9054-4B3A-BDE0-3668A54C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52881" y="10532194"/>
            <a:ext cx="492262" cy="3590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552881</xdr:colOff>
      <xdr:row>58</xdr:row>
      <xdr:rowOff>172585</xdr:rowOff>
    </xdr:from>
    <xdr:to>
      <xdr:col>1</xdr:col>
      <xdr:colOff>5172075</xdr:colOff>
      <xdr:row>60</xdr:row>
      <xdr:rowOff>155974</xdr:rowOff>
    </xdr:to>
    <xdr:grpSp>
      <xdr:nvGrpSpPr>
        <xdr:cNvPr id="86" name="Группа 85">
          <a:extLst>
            <a:ext uri="{FF2B5EF4-FFF2-40B4-BE49-F238E27FC236}">
              <a16:creationId xmlns:a16="http://schemas.microsoft.com/office/drawing/2014/main" id="{ADC1751D-5736-45B9-8E54-EF18BF377AD1}"/>
            </a:ext>
          </a:extLst>
        </xdr:cNvPr>
        <xdr:cNvGrpSpPr/>
      </xdr:nvGrpSpPr>
      <xdr:grpSpPr>
        <a:xfrm>
          <a:off x="552881" y="11869285"/>
          <a:ext cx="5485969" cy="364389"/>
          <a:chOff x="552881" y="10907260"/>
          <a:chExt cx="5485969" cy="364389"/>
        </a:xfrm>
      </xdr:grpSpPr>
      <xdr:sp macro="" textlink="">
        <xdr:nvSpPr>
          <xdr:cNvPr id="87" name="Шаг" descr="Гиперссылка на веб-страницу о функции ЕСЛИМН&#10;">
            <a:hlinkClick xmlns:r="http://schemas.openxmlformats.org/officeDocument/2006/relationships" r:id="rId12" tooltip="Щелкните, чтобы узнать больше о том, как не допустить появления неработающих формул"/>
            <a:extLst>
              <a:ext uri="{FF2B5EF4-FFF2-40B4-BE49-F238E27FC236}">
                <a16:creationId xmlns:a16="http://schemas.microsoft.com/office/drawing/2014/main" id="{2242BC63-23A2-4F17-AAED-7DD2C6329F89}"/>
              </a:ext>
            </a:extLst>
          </xdr:cNvPr>
          <xdr:cNvSpPr txBox="1"/>
        </xdr:nvSpPr>
        <xdr:spPr>
          <a:xfrm>
            <a:off x="1018066" y="10984436"/>
            <a:ext cx="5020784" cy="2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Рекомендации, позволяющие избежать появления неработающих формул</a:t>
            </a:r>
          </a:p>
        </xdr:txBody>
      </xdr:sp>
      <xdr:pic>
        <xdr:nvPicPr>
          <xdr:cNvPr id="88" name="Графический объект 22" descr="Стрелка">
            <a:hlinkClick xmlns:r="http://schemas.openxmlformats.org/officeDocument/2006/relationships" r:id="rId12" tooltip="Дополнительные сведения в Интернете"/>
            <a:extLst>
              <a:ext uri="{FF2B5EF4-FFF2-40B4-BE49-F238E27FC236}">
                <a16:creationId xmlns:a16="http://schemas.microsoft.com/office/drawing/2014/main" id="{2BABF2F2-73D3-4628-8EB1-C688F09897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52881" y="10907260"/>
            <a:ext cx="492262" cy="36438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552881</xdr:colOff>
      <xdr:row>63</xdr:row>
      <xdr:rowOff>13003</xdr:rowOff>
    </xdr:from>
    <xdr:to>
      <xdr:col>1</xdr:col>
      <xdr:colOff>3171825</xdr:colOff>
      <xdr:row>64</xdr:row>
      <xdr:rowOff>186892</xdr:rowOff>
    </xdr:to>
    <xdr:grpSp>
      <xdr:nvGrpSpPr>
        <xdr:cNvPr id="89" name="Группа 88">
          <a:extLst>
            <a:ext uri="{FF2B5EF4-FFF2-40B4-BE49-F238E27FC236}">
              <a16:creationId xmlns:a16="http://schemas.microsoft.com/office/drawing/2014/main" id="{7988A760-4FB2-4E7F-B1F1-2324CEF3CF3E}"/>
            </a:ext>
          </a:extLst>
        </xdr:cNvPr>
        <xdr:cNvGrpSpPr/>
      </xdr:nvGrpSpPr>
      <xdr:grpSpPr>
        <a:xfrm>
          <a:off x="552881" y="12662203"/>
          <a:ext cx="3485719" cy="364389"/>
          <a:chOff x="552881" y="11700178"/>
          <a:chExt cx="3485719" cy="364389"/>
        </a:xfrm>
      </xdr:grpSpPr>
      <xdr:sp macro="" textlink="">
        <xdr:nvSpPr>
          <xdr:cNvPr id="90" name="Шаг" descr="Гиперссылка на бесплатные учебные веб-курсы по Excel&#10;">
            <a:hlinkClick xmlns:r="http://schemas.openxmlformats.org/officeDocument/2006/relationships" r:id="rId13" tooltip="Сведения о бесплатных учебных веб-курсах по Excel"/>
            <a:extLst>
              <a:ext uri="{FF2B5EF4-FFF2-40B4-BE49-F238E27FC236}">
                <a16:creationId xmlns:a16="http://schemas.microsoft.com/office/drawing/2014/main" id="{83AC531D-CB18-4A4A-92F0-122C8840F418}"/>
              </a:ext>
            </a:extLst>
          </xdr:cNvPr>
          <xdr:cNvSpPr txBox="1"/>
        </xdr:nvSpPr>
        <xdr:spPr>
          <a:xfrm>
            <a:off x="1030674" y="11751282"/>
            <a:ext cx="3007926" cy="248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Бесплатные учебные веб-курсы по Excel</a:t>
            </a:r>
          </a:p>
        </xdr:txBody>
      </xdr:sp>
      <xdr:pic>
        <xdr:nvPicPr>
          <xdr:cNvPr id="91" name="Графический объект 22" descr="Стрелка">
            <a:hlinkClick xmlns:r="http://schemas.openxmlformats.org/officeDocument/2006/relationships" r:id="rId13" tooltip="Дополнительные сведения в Интернете"/>
            <a:extLst>
              <a:ext uri="{FF2B5EF4-FFF2-40B4-BE49-F238E27FC236}">
                <a16:creationId xmlns:a16="http://schemas.microsoft.com/office/drawing/2014/main" id="{9A199C7F-CC5E-42CD-954B-E34576A06F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52881" y="11700178"/>
            <a:ext cx="492262" cy="36438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552881</xdr:colOff>
      <xdr:row>60</xdr:row>
      <xdr:rowOff>171961</xdr:rowOff>
    </xdr:from>
    <xdr:to>
      <xdr:col>1</xdr:col>
      <xdr:colOff>3486149</xdr:colOff>
      <xdr:row>62</xdr:row>
      <xdr:rowOff>155350</xdr:rowOff>
    </xdr:to>
    <xdr:grpSp>
      <xdr:nvGrpSpPr>
        <xdr:cNvPr id="92" name="Группа 91">
          <a:extLst>
            <a:ext uri="{FF2B5EF4-FFF2-40B4-BE49-F238E27FC236}">
              <a16:creationId xmlns:a16="http://schemas.microsoft.com/office/drawing/2014/main" id="{1287D230-E85C-41F6-AC03-12C8065534DF}"/>
            </a:ext>
          </a:extLst>
        </xdr:cNvPr>
        <xdr:cNvGrpSpPr/>
      </xdr:nvGrpSpPr>
      <xdr:grpSpPr>
        <a:xfrm>
          <a:off x="552881" y="12249661"/>
          <a:ext cx="3800043" cy="364389"/>
          <a:chOff x="552881" y="11287636"/>
          <a:chExt cx="3800043" cy="364389"/>
        </a:xfrm>
      </xdr:grpSpPr>
      <xdr:sp macro="" textlink="">
        <xdr:nvSpPr>
          <xdr:cNvPr id="93" name="Шаг" descr="Гиперссылка на веб-страницу о сложных операторах ЕСЛИ&#10;">
            <a:hlinkClick xmlns:r="http://schemas.openxmlformats.org/officeDocument/2006/relationships" r:id="rId14" tooltip="Щелкните, чтобы узнать больше о пошаговом вычислении вложенных формул"/>
            <a:extLst>
              <a:ext uri="{FF2B5EF4-FFF2-40B4-BE49-F238E27FC236}">
                <a16:creationId xmlns:a16="http://schemas.microsoft.com/office/drawing/2014/main" id="{517452E5-5203-44C3-8F73-C9234197799E}"/>
              </a:ext>
            </a:extLst>
          </xdr:cNvPr>
          <xdr:cNvSpPr txBox="1"/>
        </xdr:nvSpPr>
        <xdr:spPr>
          <a:xfrm>
            <a:off x="1018065" y="11355911"/>
            <a:ext cx="3334859" cy="232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ru" sz="1100" u="sng" kern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Вычисление</a:t>
            </a:r>
            <a:r>
              <a:rPr lang="ru" sz="1100" u="sng" kern="0" baseline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Segoe UI" pitchFamily="34" charset="0"/>
                <a:cs typeface="Segoe UI" panose="020B0502040204020203" pitchFamily="34" charset="0"/>
              </a:rPr>
              <a:t> вложенной формулы по шагам</a:t>
            </a:r>
            <a:endParaRPr lang="en-US" sz="1100" u="sng" kern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94" name="Графический объект 22" descr="Стрелка">
            <a:hlinkClick xmlns:r="http://schemas.openxmlformats.org/officeDocument/2006/relationships" r:id="rId14" tooltip="Дополнительные сведения в Интернете"/>
            <a:extLst>
              <a:ext uri="{FF2B5EF4-FFF2-40B4-BE49-F238E27FC236}">
                <a16:creationId xmlns:a16="http://schemas.microsoft.com/office/drawing/2014/main" id="{60645326-8D7A-4377-861C-8BE1CE6E4E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52881" y="11287636"/>
            <a:ext cx="492262" cy="364389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364090</xdr:colOff>
      <xdr:row>14</xdr:row>
      <xdr:rowOff>150547</xdr:rowOff>
    </xdr:from>
    <xdr:ext cx="8554336" cy="0"/>
    <xdr:cxnSp macro="">
      <xdr:nvCxnSpPr>
        <xdr:cNvPr id="2" name="Прямая соединительная линия 1" descr="Декоративная линия">
          <a:extLst>
            <a:ext uri="{FF2B5EF4-FFF2-40B4-BE49-F238E27FC236}">
              <a16:creationId xmlns:a16="http://schemas.microsoft.com/office/drawing/2014/main" id="{F776ADAF-9C7F-4026-AE1C-DE20CA3021B8}"/>
            </a:ext>
          </a:extLst>
        </xdr:cNvPr>
        <xdr:cNvCxnSpPr/>
      </xdr:nvCxnSpPr>
      <xdr:spPr>
        <a:xfrm>
          <a:off x="954640" y="3389047"/>
          <a:ext cx="8554336" cy="0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oneCellAnchor>
  <xdr:oneCellAnchor>
    <xdr:from>
      <xdr:col>0</xdr:col>
      <xdr:colOff>333376</xdr:colOff>
      <xdr:row>0</xdr:row>
      <xdr:rowOff>352425</xdr:rowOff>
    </xdr:from>
    <xdr:ext cx="9309411" cy="4791111"/>
    <xdr:grpSp>
      <xdr:nvGrpSpPr>
        <xdr:cNvPr id="32" name="Группа 31">
          <a:extLst>
            <a:ext uri="{FF2B5EF4-FFF2-40B4-BE49-F238E27FC236}">
              <a16:creationId xmlns:a16="http://schemas.microsoft.com/office/drawing/2014/main" id="{6725C923-6B3B-4CCA-98A0-990F1C1B87A8}"/>
            </a:ext>
          </a:extLst>
        </xdr:cNvPr>
        <xdr:cNvGrpSpPr/>
      </xdr:nvGrpSpPr>
      <xdr:grpSpPr>
        <a:xfrm>
          <a:off x="333376" y="352425"/>
          <a:ext cx="9309411" cy="4791111"/>
          <a:chOff x="171451" y="285750"/>
          <a:chExt cx="9309411" cy="4791111"/>
        </a:xfrm>
      </xdr:grpSpPr>
      <xdr:grpSp>
        <xdr:nvGrpSpPr>
          <xdr:cNvPr id="13" name="Группа 12">
            <a:extLst>
              <a:ext uri="{FF2B5EF4-FFF2-40B4-BE49-F238E27FC236}">
                <a16:creationId xmlns:a16="http://schemas.microsoft.com/office/drawing/2014/main" id="{3FA7D425-D370-44B8-8FA4-045B5D6E310A}"/>
              </a:ext>
            </a:extLst>
          </xdr:cNvPr>
          <xdr:cNvGrpSpPr/>
        </xdr:nvGrpSpPr>
        <xdr:grpSpPr>
          <a:xfrm>
            <a:off x="171451" y="285750"/>
            <a:ext cx="9309411" cy="4791111"/>
            <a:chOff x="171451" y="285750"/>
            <a:chExt cx="9309411" cy="4791111"/>
          </a:xfrm>
        </xdr:grpSpPr>
        <xdr:sp macro="" textlink="">
          <xdr:nvSpPr>
            <xdr:cNvPr id="30" name="Прямоугольник 29" descr="Фон">
              <a:extLst>
                <a:ext uri="{FF2B5EF4-FFF2-40B4-BE49-F238E27FC236}">
                  <a16:creationId xmlns:a16="http://schemas.microsoft.com/office/drawing/2014/main" id="{7626CA03-671C-4586-BB83-B5B27BDAF61D}"/>
                </a:ext>
              </a:extLst>
            </xdr:cNvPr>
            <xdr:cNvSpPr/>
          </xdr:nvSpPr>
          <xdr:spPr>
            <a:xfrm>
              <a:off x="171451" y="285750"/>
              <a:ext cx="9299853" cy="4788000"/>
            </a:xfrm>
            <a:prstGeom prst="rect">
              <a:avLst/>
            </a:prstGeom>
            <a:solidFill>
              <a:srgbClr val="21734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 rtl="0"/>
              <a:endParaRPr lang="en-US" sz="1100"/>
            </a:p>
          </xdr:txBody>
        </xdr:sp>
        <xdr:sp macro="" textlink="">
          <xdr:nvSpPr>
            <xdr:cNvPr id="31" name="Прямоугольник 30" descr="Фон">
              <a:extLst>
                <a:ext uri="{FF2B5EF4-FFF2-40B4-BE49-F238E27FC236}">
                  <a16:creationId xmlns:a16="http://schemas.microsoft.com/office/drawing/2014/main" id="{0EF2E102-5A65-4310-A323-6E9410B364FE}"/>
                </a:ext>
              </a:extLst>
            </xdr:cNvPr>
            <xdr:cNvSpPr/>
          </xdr:nvSpPr>
          <xdr:spPr>
            <a:xfrm>
              <a:off x="171451" y="1332861"/>
              <a:ext cx="9309411" cy="3744000"/>
            </a:xfrm>
            <a:prstGeom prst="rect">
              <a:avLst/>
            </a:prstGeom>
            <a:solidFill>
              <a:srgbClr val="F5F5F5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 rtl="0"/>
              <a:endParaRPr lang="en-US" sz="1100"/>
            </a:p>
          </xdr:txBody>
        </xdr:sp>
      </xdr:grpSp>
      <xdr:sp macro="" textlink="">
        <xdr:nvSpPr>
          <xdr:cNvPr id="14" name="Приветственное сообщение" descr="Это еще не все. Существует множество других способов упростить работу.">
            <a:extLst>
              <a:ext uri="{FF2B5EF4-FFF2-40B4-BE49-F238E27FC236}">
                <a16:creationId xmlns:a16="http://schemas.microsoft.com/office/drawing/2014/main" id="{914889AE-4E16-4A8A-A641-A17A3C6BFA28}"/>
              </a:ext>
            </a:extLst>
          </xdr:cNvPr>
          <xdr:cNvSpPr txBox="1"/>
        </xdr:nvSpPr>
        <xdr:spPr>
          <a:xfrm>
            <a:off x="780726" y="2874970"/>
            <a:ext cx="8251976" cy="4111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rtl="0" eaLnBrk="1" fontAlgn="auto" latinLnBrk="0" hangingPunct="1"/>
            <a:r>
              <a:rPr lang="ru" sz="1600" b="0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Это еще не все. Есть чему поучиться с Excel:</a:t>
            </a:r>
            <a:endParaRPr lang="en-US" sz="1600" b="0">
              <a:solidFill>
                <a:schemeClr val="tx1">
                  <a:lumMod val="75000"/>
                  <a:lumOff val="25000"/>
                </a:schemeClr>
              </a:solidFill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15" name="Приветственное сообщение" descr="Есть еще вопросы об Excel?">
            <a:extLst>
              <a:ext uri="{FF2B5EF4-FFF2-40B4-BE49-F238E27FC236}">
                <a16:creationId xmlns:a16="http://schemas.microsoft.com/office/drawing/2014/main" id="{618A7547-5753-470B-942C-5C7C63E0E0A5}"/>
              </a:ext>
            </a:extLst>
          </xdr:cNvPr>
          <xdr:cNvSpPr txBox="1"/>
        </xdr:nvSpPr>
        <xdr:spPr>
          <a:xfrm>
            <a:off x="752052" y="676037"/>
            <a:ext cx="7629650" cy="7139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rtl="0" eaLnBrk="1" fontAlgn="auto" latinLnBrk="0" hangingPunct="1"/>
            <a:r>
              <a:rPr lang="ru" sz="2600" b="0" i="0" baseline="0">
                <a:solidFill>
                  <a:schemeClr val="bg1"/>
                </a:solidFill>
                <a:effectLst/>
                <a:latin typeface="Segoe UI Light" pitchFamily="34" charset="0"/>
                <a:ea typeface="Segoe UI" pitchFamily="34" charset="0"/>
                <a:cs typeface="Segoe UI" pitchFamily="34" charset="0"/>
              </a:rPr>
              <a:t>Есть еще вопросы об Excel?</a:t>
            </a:r>
            <a:endParaRPr lang="en-US" sz="2600" b="0">
              <a:latin typeface="Segoe UI Light" pitchFamily="34" charset="0"/>
              <a:ea typeface="Segoe UI" pitchFamily="34" charset="0"/>
              <a:cs typeface="Segoe UI" pitchFamily="34" charset="0"/>
            </a:endParaRPr>
          </a:p>
        </xdr:txBody>
      </xdr:sp>
      <xdr:pic>
        <xdr:nvPicPr>
          <xdr:cNvPr id="18" name="Рисунок 17" descr="Кнопка помощника">
            <a:extLst>
              <a:ext uri="{FF2B5EF4-FFF2-40B4-BE49-F238E27FC236}">
                <a16:creationId xmlns:a16="http://schemas.microsoft.com/office/drawing/2014/main" id="{412A103B-C4FA-4247-B599-4CAC782AE3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3413" y="1468036"/>
            <a:ext cx="1012148" cy="942779"/>
          </a:xfrm>
          <a:prstGeom prst="rect">
            <a:avLst/>
          </a:prstGeom>
        </xdr:spPr>
      </xdr:pic>
      <xdr:sp macro="" textlink="">
        <xdr:nvSpPr>
          <xdr:cNvPr id="19" name="Приветственное сообщение" descr="Нажмите кнопку «Помощник» и введите запрос.">
            <a:extLst>
              <a:ext uri="{FF2B5EF4-FFF2-40B4-BE49-F238E27FC236}">
                <a16:creationId xmlns:a16="http://schemas.microsoft.com/office/drawing/2014/main" id="{5778FEE5-3107-48FB-9854-7817EF5A9214}"/>
              </a:ext>
            </a:extLst>
          </xdr:cNvPr>
          <xdr:cNvSpPr txBox="1"/>
        </xdr:nvSpPr>
        <xdr:spPr>
          <a:xfrm>
            <a:off x="762520" y="1762816"/>
            <a:ext cx="6653832" cy="731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rtl="0" eaLnBrk="1" fontAlgn="auto" latinLnBrk="0" hangingPunct="1"/>
            <a:r>
              <a:rPr lang="ru" sz="1600" b="0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Нажмите кнопку </a:t>
            </a:r>
            <a:r>
              <a:rPr lang="ru" sz="1600" b="0" i="0" baseline="0">
                <a:solidFill>
                  <a:srgbClr val="217346"/>
                </a:solidFill>
                <a:effectLst/>
                <a:latin typeface="Segoe UI Semibold" panose="020B0702040204020203" pitchFamily="34" charset="0"/>
                <a:ea typeface="Segoe UI" pitchFamily="34" charset="0"/>
                <a:cs typeface="Segoe UI Semibold" panose="020B0702040204020203" pitchFamily="34" charset="0"/>
              </a:rPr>
              <a:t>Помощник                  </a:t>
            </a:r>
            <a:r>
              <a:rPr lang="ru" sz="1600" b="0" i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 Light" panose="020B0502040204020203" pitchFamily="34" charset="0"/>
                <a:ea typeface="Segoe UI" pitchFamily="34" charset="0"/>
                <a:cs typeface="Segoe UI Light" panose="020B0502040204020203" pitchFamily="34" charset="0"/>
              </a:rPr>
              <a:t> и введите запрос.</a:t>
            </a:r>
          </a:p>
        </xdr:txBody>
      </xdr:sp>
      <xdr:pic>
        <xdr:nvPicPr>
          <xdr:cNvPr id="20" name="Рисунок 19">
            <a:extLst>
              <a:ext uri="{FF2B5EF4-FFF2-40B4-BE49-F238E27FC236}">
                <a16:creationId xmlns:a16="http://schemas.microsoft.com/office/drawing/2014/main" id="{88E5D8DC-FCE0-4296-A97F-BEEA80C83A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83578" y="1835434"/>
            <a:ext cx="2262661" cy="769703"/>
          </a:xfrm>
          <a:prstGeom prst="rect">
            <a:avLst/>
          </a:prstGeom>
        </xdr:spPr>
      </xdr:pic>
      <xdr:sp macro="" textlink="">
        <xdr:nvSpPr>
          <xdr:cNvPr id="23" name="Надпись 22" descr="Дополнительные сведения">
            <a:hlinkClick xmlns:r="http://schemas.openxmlformats.org/officeDocument/2006/relationships" r:id="rId3" tooltip="Сообщество Excel в Интернете"/>
            <a:extLst>
              <a:ext uri="{FF2B5EF4-FFF2-40B4-BE49-F238E27FC236}">
                <a16:creationId xmlns:a16="http://schemas.microsoft.com/office/drawing/2014/main" id="{0E4F3BD9-1086-4455-B51C-A8936225A3CC}"/>
              </a:ext>
            </a:extLst>
          </xdr:cNvPr>
          <xdr:cNvSpPr txBox="1"/>
        </xdr:nvSpPr>
        <xdr:spPr>
          <a:xfrm>
            <a:off x="1948323" y="4330350"/>
            <a:ext cx="2808000" cy="441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 rtl="0"/>
            <a:r>
              <a:rPr lang="ru-RU" sz="1200" u="sng" baseline="0">
                <a:solidFill>
                  <a:srgbClr val="217346"/>
                </a:solidFill>
                <a:effectLst/>
                <a:latin typeface="Segoe UI Semibold" panose="020B0702040204020203" pitchFamily="34" charset="0"/>
                <a:ea typeface="+mn-ea"/>
                <a:cs typeface="Segoe UI Semibold" panose="020B0702040204020203" pitchFamily="34" charset="0"/>
              </a:rPr>
              <a:t>Подробнее (только на английском)</a:t>
            </a:r>
            <a:endParaRPr lang="en-US" sz="1200" u="sng">
              <a:solidFill>
                <a:schemeClr val="tx1">
                  <a:lumMod val="75000"/>
                  <a:lumOff val="25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endParaRPr>
          </a:p>
        </xdr:txBody>
      </xdr:sp>
      <xdr:sp macro="" textlink="">
        <xdr:nvSpPr>
          <xdr:cNvPr id="24" name="Надпись 23" descr="Дополнительные сведения">
            <a:hlinkClick xmlns:r="http://schemas.openxmlformats.org/officeDocument/2006/relationships" r:id="rId4" tooltip="Новости об Excel в Интернете"/>
            <a:extLst>
              <a:ext uri="{FF2B5EF4-FFF2-40B4-BE49-F238E27FC236}">
                <a16:creationId xmlns:a16="http://schemas.microsoft.com/office/drawing/2014/main" id="{C99A8BC1-9314-4FC6-B158-3CC6B224F07E}"/>
              </a:ext>
            </a:extLst>
          </xdr:cNvPr>
          <xdr:cNvSpPr txBox="1"/>
        </xdr:nvSpPr>
        <xdr:spPr>
          <a:xfrm>
            <a:off x="6167192" y="4330350"/>
            <a:ext cx="2808000" cy="441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 rtl="0"/>
            <a:r>
              <a:rPr lang="ru-RU" sz="1200" u="sng" baseline="0">
                <a:solidFill>
                  <a:srgbClr val="217346"/>
                </a:solidFill>
                <a:effectLst/>
                <a:latin typeface="Segoe UI Semibold" panose="020B0702040204020203" pitchFamily="34" charset="0"/>
                <a:ea typeface="+mn-ea"/>
                <a:cs typeface="Segoe UI Semibold" panose="020B0702040204020203" pitchFamily="34" charset="0"/>
              </a:rPr>
              <a:t>Подробнее</a:t>
            </a:r>
            <a:endParaRPr lang="en-US" sz="1200" u="sng">
              <a:solidFill>
                <a:schemeClr val="tx1">
                  <a:lumMod val="75000"/>
                  <a:lumOff val="25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endParaRPr>
          </a:p>
        </xdr:txBody>
      </xdr:sp>
      <xdr:sp macro="" textlink="">
        <xdr:nvSpPr>
          <xdr:cNvPr id="25" name="Надпись 24" descr="Сообщество&#10;Задавайте вопросы и общайтесь с другими фанатами Excel.">
            <a:extLst>
              <a:ext uri="{FF2B5EF4-FFF2-40B4-BE49-F238E27FC236}">
                <a16:creationId xmlns:a16="http://schemas.microsoft.com/office/drawing/2014/main" id="{1293751F-7023-4F3D-A3F2-7A62FD5D2D64}"/>
              </a:ext>
            </a:extLst>
          </xdr:cNvPr>
          <xdr:cNvSpPr txBox="1"/>
        </xdr:nvSpPr>
        <xdr:spPr>
          <a:xfrm>
            <a:off x="1948322" y="3324224"/>
            <a:ext cx="1620000" cy="885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 rtl="0"/>
            <a:r>
              <a:rPr lang="ru" sz="1400" baseline="0">
                <a:solidFill>
                  <a:srgbClr val="217346"/>
                </a:solidFill>
                <a:effectLst/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rPr>
              <a:t>Сообщество</a:t>
            </a:r>
          </a:p>
          <a:p>
            <a:pPr algn="l" rtl="0"/>
            <a:r>
              <a:rPr lang="ru" sz="110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Задавайте вопросы и общайтесь с другими фанатами Excel.</a:t>
            </a:r>
          </a:p>
        </xdr:txBody>
      </xdr:sp>
      <xdr:sp macro="" textlink="">
        <xdr:nvSpPr>
          <xdr:cNvPr id="28" name="Надпись 27" descr="Что нового?&#10;Подписчики Office 365 постоянно получают обновления и новые функции.">
            <a:extLst>
              <a:ext uri="{FF2B5EF4-FFF2-40B4-BE49-F238E27FC236}">
                <a16:creationId xmlns:a16="http://schemas.microsoft.com/office/drawing/2014/main" id="{ECCFA6AB-0C67-4817-85A5-BD3EDB6C982F}"/>
              </a:ext>
            </a:extLst>
          </xdr:cNvPr>
          <xdr:cNvSpPr txBox="1"/>
        </xdr:nvSpPr>
        <xdr:spPr>
          <a:xfrm>
            <a:off x="6115051" y="3324225"/>
            <a:ext cx="2196000" cy="970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 rtl="0"/>
            <a:r>
              <a:rPr lang="ru" sz="1400" baseline="0">
                <a:solidFill>
                  <a:srgbClr val="217346"/>
                </a:solidFill>
                <a:effectLst/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rPr>
              <a:t>Что нового?</a:t>
            </a:r>
          </a:p>
          <a:p>
            <a:pPr algn="l" rtl="0"/>
            <a:r>
              <a:rPr lang="ru" sz="110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Подписчики Office 365 постоянно получают обновления и новые функции.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29" name="Рисунок 28" descr="Сообщество">
            <a:extLst>
              <a:ext uri="{FF2B5EF4-FFF2-40B4-BE49-F238E27FC236}">
                <a16:creationId xmlns:a16="http://schemas.microsoft.com/office/drawing/2014/main" id="{41B2A156-9057-46D4-BFEA-4C4DAD5401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09650" y="3467216"/>
            <a:ext cx="926984" cy="774603"/>
          </a:xfrm>
          <a:prstGeom prst="rect">
            <a:avLst/>
          </a:prstGeom>
        </xdr:spPr>
      </xdr:pic>
    </xdr:grpSp>
    <xdr:clientData/>
  </xdr:oneCellAnchor>
  <xdr:oneCellAnchor>
    <xdr:from>
      <xdr:col>1</xdr:col>
      <xdr:colOff>4612563</xdr:colOff>
      <xdr:row>15</xdr:row>
      <xdr:rowOff>98712</xdr:rowOff>
    </xdr:from>
    <xdr:ext cx="974505" cy="786961"/>
    <xdr:grpSp>
      <xdr:nvGrpSpPr>
        <xdr:cNvPr id="5" name="Группа 4" descr="Что нового?">
          <a:extLst>
            <a:ext uri="{FF2B5EF4-FFF2-40B4-BE49-F238E27FC236}">
              <a16:creationId xmlns:a16="http://schemas.microsoft.com/office/drawing/2014/main" id="{C26483B0-64DC-4BE9-92D8-7D9943F8404A}"/>
            </a:ext>
          </a:extLst>
        </xdr:cNvPr>
        <xdr:cNvGrpSpPr/>
      </xdr:nvGrpSpPr>
      <xdr:grpSpPr>
        <a:xfrm>
          <a:off x="5203113" y="3527712"/>
          <a:ext cx="974505" cy="786961"/>
          <a:chOff x="6717588" y="3592566"/>
          <a:chExt cx="974505" cy="786961"/>
        </a:xfrm>
      </xdr:grpSpPr>
      <xdr:pic>
        <xdr:nvPicPr>
          <xdr:cNvPr id="6" name="Графический объект 5" descr="Газета">
            <a:extLst>
              <a:ext uri="{FF2B5EF4-FFF2-40B4-BE49-F238E27FC236}">
                <a16:creationId xmlns:a16="http://schemas.microsoft.com/office/drawing/2014/main" id="{C4C50A08-36A1-4EB5-B3E3-5871348DA9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873201" y="3769928"/>
            <a:ext cx="669283" cy="609599"/>
          </a:xfrm>
          <a:prstGeom prst="rect">
            <a:avLst/>
          </a:prstGeom>
        </xdr:spPr>
      </xdr:pic>
      <xdr:grpSp>
        <xdr:nvGrpSpPr>
          <xdr:cNvPr id="7" name="Группа 6" descr="Расходящиеся линии">
            <a:extLst>
              <a:ext uri="{FF2B5EF4-FFF2-40B4-BE49-F238E27FC236}">
                <a16:creationId xmlns:a16="http://schemas.microsoft.com/office/drawing/2014/main" id="{E1BA0500-D74F-47DF-B174-42DE06128115}"/>
              </a:ext>
            </a:extLst>
          </xdr:cNvPr>
          <xdr:cNvGrpSpPr/>
        </xdr:nvGrpSpPr>
        <xdr:grpSpPr>
          <a:xfrm>
            <a:off x="6717588" y="3592566"/>
            <a:ext cx="974505" cy="414995"/>
            <a:chOff x="6717588" y="3592566"/>
            <a:chExt cx="974505" cy="414995"/>
          </a:xfrm>
        </xdr:grpSpPr>
        <xdr:cxnSp macro="">
          <xdr:nvCxnSpPr>
            <xdr:cNvPr id="8" name="Прямая соединительная линия 7" descr="Линия">
              <a:extLst>
                <a:ext uri="{FF2B5EF4-FFF2-40B4-BE49-F238E27FC236}">
                  <a16:creationId xmlns:a16="http://schemas.microsoft.com/office/drawing/2014/main" id="{60F99F57-82B7-4C45-9E1F-6F539428C99F}"/>
                </a:ext>
              </a:extLst>
            </xdr:cNvPr>
            <xdr:cNvCxnSpPr/>
          </xdr:nvCxnSpPr>
          <xdr:spPr>
            <a:xfrm>
              <a:off x="6797564" y="3671394"/>
              <a:ext cx="115615" cy="113971"/>
            </a:xfrm>
            <a:prstGeom prst="line">
              <a:avLst/>
            </a:prstGeom>
            <a:ln w="57150" cap="sq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Прямая соединительная линия 8" descr="Линия">
              <a:extLst>
                <a:ext uri="{FF2B5EF4-FFF2-40B4-BE49-F238E27FC236}">
                  <a16:creationId xmlns:a16="http://schemas.microsoft.com/office/drawing/2014/main" id="{3B5990D6-B9FE-4EE3-B6AF-131B8541AF7C}"/>
                </a:ext>
              </a:extLst>
            </xdr:cNvPr>
            <xdr:cNvCxnSpPr/>
          </xdr:nvCxnSpPr>
          <xdr:spPr>
            <a:xfrm>
              <a:off x="7171996" y="3592566"/>
              <a:ext cx="0" cy="146816"/>
            </a:xfrm>
            <a:prstGeom prst="line">
              <a:avLst/>
            </a:prstGeom>
            <a:ln w="57150" cap="sq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Прямая соединительная линия 9" descr="Линия">
              <a:extLst>
                <a:ext uri="{FF2B5EF4-FFF2-40B4-BE49-F238E27FC236}">
                  <a16:creationId xmlns:a16="http://schemas.microsoft.com/office/drawing/2014/main" id="{14DE8C8C-88B2-47BC-9A89-7F755A4EEB16}"/>
                </a:ext>
              </a:extLst>
            </xdr:cNvPr>
            <xdr:cNvCxnSpPr/>
          </xdr:nvCxnSpPr>
          <xdr:spPr>
            <a:xfrm flipH="1">
              <a:off x="7454461" y="3671394"/>
              <a:ext cx="115615" cy="113971"/>
            </a:xfrm>
            <a:prstGeom prst="line">
              <a:avLst/>
            </a:prstGeom>
            <a:ln w="57150" cap="sq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" name="Прямая соединительная линия 10" descr="Линия">
              <a:extLst>
                <a:ext uri="{FF2B5EF4-FFF2-40B4-BE49-F238E27FC236}">
                  <a16:creationId xmlns:a16="http://schemas.microsoft.com/office/drawing/2014/main" id="{2EC00F15-9B85-41E1-887D-BDD4E298A585}"/>
                </a:ext>
              </a:extLst>
            </xdr:cNvPr>
            <xdr:cNvCxnSpPr/>
          </xdr:nvCxnSpPr>
          <xdr:spPr>
            <a:xfrm rot="5400000">
              <a:off x="6790996" y="3934153"/>
              <a:ext cx="0" cy="146816"/>
            </a:xfrm>
            <a:prstGeom prst="line">
              <a:avLst/>
            </a:prstGeom>
            <a:ln w="57150" cap="sq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" name="Прямая соединительная линия 11" descr="Линия">
              <a:extLst>
                <a:ext uri="{FF2B5EF4-FFF2-40B4-BE49-F238E27FC236}">
                  <a16:creationId xmlns:a16="http://schemas.microsoft.com/office/drawing/2014/main" id="{6BB4DA8E-3D9A-4F41-BFA9-62787CEDBB3C}"/>
                </a:ext>
              </a:extLst>
            </xdr:cNvPr>
            <xdr:cNvCxnSpPr/>
          </xdr:nvCxnSpPr>
          <xdr:spPr>
            <a:xfrm rot="5400000">
              <a:off x="7618685" y="3934153"/>
              <a:ext cx="0" cy="146816"/>
            </a:xfrm>
            <a:prstGeom prst="line">
              <a:avLst/>
            </a:prstGeom>
            <a:ln w="57150" cap="sq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sic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ditional%20Function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ditional Function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Fruit" displayName="tbl_Fruit" ref="Z2:Z6" totalsRowShown="0" headerRowDxfId="14" dataDxfId="13" dataCellStyle="GrayCell">
  <autoFilter ref="Z2:Z6" xr:uid="{00000000-0009-0000-0100-000001000000}"/>
  <tableColumns count="1">
    <tableColumn id="1" xr3:uid="{00000000-0010-0000-0000-000001000000}" name="Фрукт" dataDxfId="12" dataCellStyle="Gray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FruitType" displayName="tbl_FruitType" ref="AB2:AB4" totalsRowShown="0" headerRowDxfId="11" dataDxfId="10" dataCellStyle="GrayCell">
  <autoFilter ref="AB2:AB4" xr:uid="{00000000-0009-0000-0100-000002000000}"/>
  <tableColumns count="1">
    <tableColumn id="1" xr3:uid="{00000000-0010-0000-0100-000001000000}" name="Яблоки" dataDxfId="9" dataCellStyle="GrayCel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FruitType4" displayName="tbl_FruitType4" ref="AD2:AD4" totalsRowShown="0" headerRowDxfId="8" dataDxfId="7" dataCellStyle="GrayCell">
  <autoFilter ref="AD2:AD4" xr:uid="{00000000-0009-0000-0100-000003000000}"/>
  <tableColumns count="1">
    <tableColumn id="1" xr3:uid="{00000000-0010-0000-0200-000001000000}" name="Апельсины" dataDxfId="6" dataCellStyle="Gray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FruitType5" displayName="tbl_FruitType5" ref="AH2:AH4" totalsRowShown="0" headerRowDxfId="5" dataDxfId="4" dataCellStyle="GrayCell">
  <autoFilter ref="AH2:AH4" xr:uid="{00000000-0009-0000-0100-000004000000}"/>
  <tableColumns count="1">
    <tableColumn id="1" xr3:uid="{00000000-0010-0000-0300-000001000000}" name="Лимоны" dataDxfId="3" dataCellStyle="Gray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_FruitType6" displayName="tbl_FruitType6" ref="AF2:AF4" totalsRowShown="0" headerRowDxfId="2" dataDxfId="1" dataCellStyle="GrayCell">
  <autoFilter ref="AF2:AF4" xr:uid="{00000000-0009-0000-0100-000005000000}"/>
  <tableColumns count="1">
    <tableColumn id="1" xr3:uid="{00000000-0010-0000-0400-000001000000}" name="Бананы" dataDxfId="0" dataCellStyle="GrayC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7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44CA926-211C-46F4-A033-231DAF833682}">
  <we:reference id="56ea8b68-fbaf-4a26-a253-b2384b9d37d3" version="1.0.0.0" store="\\TKYTHOMLAPTOP\Users\t-kythom\Source\Repos\LearnOffice" storeType="Filesystem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o.microsoft.com/fwlink/?linkid=844737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go.microsoft.com/fwlink/?linkid=844732" TargetMode="External"/><Relationship Id="rId2" Type="http://schemas.openxmlformats.org/officeDocument/2006/relationships/hyperlink" Target="https://go.microsoft.com/fwlink/?linkid=844727" TargetMode="External"/><Relationship Id="rId1" Type="http://schemas.openxmlformats.org/officeDocument/2006/relationships/hyperlink" Target="https://go.microsoft.com/fwlink/?linkid=844719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go.microsoft.com/fwlink/?linkid=844737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upport.office.com/en-us/article/IF-function-69AED7C9-4E8A-4755-A9BC-AA8BBFF73BE2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support.office.com/ru-ru/article/&#1053;&#1086;&#1074;&#1099;&#1077;-&#1074;&#1086;&#1079;&#1084;&#1086;&#1078;&#1085;&#1086;&#1089;&#1090;&#1080;-excel-2016-&#1076;&#1083;&#1103;-windows-5fdb9208-ff33-45b6-9e08-1f5cdb3a6c73?omkt=ru-RU" TargetMode="External"/><Relationship Id="rId1" Type="http://schemas.openxmlformats.org/officeDocument/2006/relationships/hyperlink" Target="http://go.microsoft.com/fwlink/?LinkId=844969" TargetMode="External"/><Relationship Id="rId4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A5"/>
  <sheetViews>
    <sheetView showGridLines="0" showRowColHeaders="0" tabSelected="1" workbookViewId="0"/>
  </sheetViews>
  <sheetFormatPr defaultColWidth="11.140625" defaultRowHeight="20.25" customHeight="1" x14ac:dyDescent="0.25"/>
  <cols>
    <col min="1" max="1" width="147.7109375" style="1" customWidth="1"/>
    <col min="2" max="2" width="3.5703125" style="1" customWidth="1"/>
    <col min="3" max="16384" width="11.140625" style="1"/>
  </cols>
  <sheetData>
    <row r="1" spans="1:1" ht="20.25" customHeight="1" x14ac:dyDescent="1.25">
      <c r="A1" s="72"/>
    </row>
    <row r="2" spans="1:1" ht="102" customHeight="1" x14ac:dyDescent="1.25">
      <c r="A2" s="72" t="s">
        <v>0</v>
      </c>
    </row>
    <row r="3" spans="1:1" ht="45" x14ac:dyDescent="0.35">
      <c r="A3" s="2" t="s">
        <v>1</v>
      </c>
    </row>
    <row r="4" spans="1:1" ht="264" customHeight="1" x14ac:dyDescent="0.25">
      <c r="A4" s="3" t="s">
        <v>2</v>
      </c>
    </row>
    <row r="5" spans="1:1" ht="20.25" customHeight="1" x14ac:dyDescent="0.35">
      <c r="A5" s="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N86"/>
  <sheetViews>
    <sheetView showGridLines="0" zoomScaleNormal="100" workbookViewId="0"/>
  </sheetViews>
  <sheetFormatPr defaultColWidth="9.140625" defaultRowHeight="15" x14ac:dyDescent="0.25"/>
  <cols>
    <col min="1" max="1" width="12.7109375" style="31" customWidth="1"/>
    <col min="2" max="2" width="82.85546875" style="25" customWidth="1"/>
    <col min="3" max="3" width="15.7109375" style="25" bestFit="1" customWidth="1"/>
    <col min="4" max="4" width="2.28515625" style="25" customWidth="1"/>
    <col min="5" max="5" width="25.7109375" style="25" customWidth="1"/>
    <col min="6" max="6" width="15.7109375" style="25" customWidth="1"/>
    <col min="7" max="7" width="13.28515625" style="25" customWidth="1"/>
    <col min="8" max="9" width="9.140625" style="25"/>
    <col min="10" max="10" width="10" style="25" customWidth="1"/>
    <col min="11" max="11" width="9.140625" style="25" customWidth="1"/>
    <col min="12" max="16384" width="9.140625" style="25"/>
  </cols>
  <sheetData>
    <row r="1" spans="1:7" ht="60" customHeight="1" x14ac:dyDescent="0.25">
      <c r="A1" s="31" t="s">
        <v>3</v>
      </c>
      <c r="C1" s="76"/>
      <c r="D1" s="77"/>
      <c r="E1" s="77"/>
      <c r="F1" s="77"/>
    </row>
    <row r="2" spans="1:7" ht="15.75" thickBot="1" x14ac:dyDescent="0.3">
      <c r="A2" s="31" t="s">
        <v>4</v>
      </c>
      <c r="C2" s="78" t="s">
        <v>28</v>
      </c>
      <c r="E2" s="8" t="s">
        <v>29</v>
      </c>
      <c r="F2" s="9" t="s">
        <v>35</v>
      </c>
      <c r="G2" s="9" t="s">
        <v>36</v>
      </c>
    </row>
    <row r="3" spans="1:7" ht="16.5" thickTop="1" thickBot="1" x14ac:dyDescent="0.3">
      <c r="A3" s="31" t="s">
        <v>5</v>
      </c>
      <c r="C3" s="97">
        <v>1</v>
      </c>
      <c r="E3" s="112" t="s">
        <v>30</v>
      </c>
      <c r="F3" s="111"/>
      <c r="G3" s="113">
        <f>C3+C4</f>
        <v>3</v>
      </c>
    </row>
    <row r="4" spans="1:7" ht="16.5" thickTop="1" thickBot="1" x14ac:dyDescent="0.3">
      <c r="A4" s="31" t="s">
        <v>6</v>
      </c>
      <c r="C4" s="97">
        <v>2</v>
      </c>
      <c r="E4" s="112" t="s">
        <v>31</v>
      </c>
      <c r="F4" s="111"/>
      <c r="G4" s="113">
        <f>C3-C4</f>
        <v>-1</v>
      </c>
    </row>
    <row r="5" spans="1:7" ht="15.75" thickTop="1" x14ac:dyDescent="0.25">
      <c r="A5" s="31" t="s">
        <v>7</v>
      </c>
      <c r="E5" s="112" t="s">
        <v>32</v>
      </c>
      <c r="F5" s="111"/>
      <c r="G5" s="113">
        <f>C3*C4</f>
        <v>2</v>
      </c>
    </row>
    <row r="6" spans="1:7" ht="15.75" thickBot="1" x14ac:dyDescent="0.3">
      <c r="A6" s="31" t="s">
        <v>8</v>
      </c>
      <c r="E6" s="112" t="s">
        <v>33</v>
      </c>
      <c r="F6" s="111"/>
      <c r="G6" s="113">
        <f>C3/C4</f>
        <v>0.5</v>
      </c>
    </row>
    <row r="7" spans="1:7" ht="15" customHeight="1" thickTop="1" thickBot="1" x14ac:dyDescent="0.3">
      <c r="A7" s="33" t="s">
        <v>308</v>
      </c>
      <c r="E7" s="112" t="s">
        <v>34</v>
      </c>
      <c r="F7" s="114"/>
      <c r="G7" s="113">
        <f>C3^C4</f>
        <v>1</v>
      </c>
    </row>
    <row r="8" spans="1:7" ht="15.75" thickTop="1" x14ac:dyDescent="0.25">
      <c r="A8" s="31" t="s">
        <v>9</v>
      </c>
    </row>
    <row r="9" spans="1:7" x14ac:dyDescent="0.25">
      <c r="A9" s="31" t="s">
        <v>10</v>
      </c>
    </row>
    <row r="10" spans="1:7" x14ac:dyDescent="0.25">
      <c r="A10" s="31" t="s">
        <v>11</v>
      </c>
    </row>
    <row r="11" spans="1:7" x14ac:dyDescent="0.25">
      <c r="A11" s="31" t="s">
        <v>12</v>
      </c>
    </row>
    <row r="12" spans="1:7" x14ac:dyDescent="0.25">
      <c r="A12" s="31" t="s">
        <v>13</v>
      </c>
    </row>
    <row r="13" spans="1:7" ht="15" customHeight="1" x14ac:dyDescent="0.25">
      <c r="A13" s="33" t="s">
        <v>292</v>
      </c>
    </row>
    <row r="14" spans="1:7" x14ac:dyDescent="0.25">
      <c r="A14" s="31" t="s">
        <v>14</v>
      </c>
    </row>
    <row r="15" spans="1:7" x14ac:dyDescent="0.25">
      <c r="A15" s="31" t="s">
        <v>15</v>
      </c>
    </row>
    <row r="16" spans="1:7" x14ac:dyDescent="0.25">
      <c r="A16" s="31" t="s">
        <v>16</v>
      </c>
    </row>
    <row r="17" spans="1:7" x14ac:dyDescent="0.25">
      <c r="A17" s="35" t="s">
        <v>17</v>
      </c>
    </row>
    <row r="18" spans="1:7" x14ac:dyDescent="0.25">
      <c r="A18" s="35" t="s">
        <v>299</v>
      </c>
    </row>
    <row r="19" spans="1:7" x14ac:dyDescent="0.25">
      <c r="A19" s="35" t="s">
        <v>18</v>
      </c>
    </row>
    <row r="20" spans="1:7" x14ac:dyDescent="0.25">
      <c r="A20" s="137" t="s">
        <v>300</v>
      </c>
    </row>
    <row r="21" spans="1:7" ht="15" customHeight="1" x14ac:dyDescent="0.25">
      <c r="A21" s="33" t="s">
        <v>19</v>
      </c>
    </row>
    <row r="22" spans="1:7" x14ac:dyDescent="0.25">
      <c r="A22" s="35" t="s">
        <v>20</v>
      </c>
    </row>
    <row r="23" spans="1:7" x14ac:dyDescent="0.25">
      <c r="A23" s="35" t="s">
        <v>21</v>
      </c>
    </row>
    <row r="25" spans="1:7" ht="33" x14ac:dyDescent="0.25">
      <c r="C25" s="76"/>
      <c r="D25" s="77"/>
      <c r="E25" s="77"/>
      <c r="F25" s="77"/>
      <c r="G25" s="77"/>
    </row>
    <row r="26" spans="1:7" x14ac:dyDescent="0.25">
      <c r="A26" s="35" t="s">
        <v>22</v>
      </c>
    </row>
    <row r="27" spans="1:7" x14ac:dyDescent="0.25">
      <c r="A27" s="35" t="s">
        <v>23</v>
      </c>
    </row>
    <row r="28" spans="1:7" ht="26.25" x14ac:dyDescent="0.4">
      <c r="A28" s="35" t="s">
        <v>24</v>
      </c>
      <c r="E28" s="68"/>
    </row>
    <row r="29" spans="1:7" x14ac:dyDescent="0.25">
      <c r="A29" s="35" t="s">
        <v>25</v>
      </c>
    </row>
    <row r="30" spans="1:7" x14ac:dyDescent="0.25">
      <c r="A30" s="35" t="s">
        <v>26</v>
      </c>
    </row>
    <row r="31" spans="1:7" x14ac:dyDescent="0.25">
      <c r="A31" s="35" t="s">
        <v>27</v>
      </c>
    </row>
    <row r="40" spans="10:14" x14ac:dyDescent="0.25">
      <c r="J40" s="9" t="s">
        <v>37</v>
      </c>
    </row>
    <row r="41" spans="10:14" x14ac:dyDescent="0.25">
      <c r="J41" s="69">
        <v>4</v>
      </c>
    </row>
    <row r="42" spans="10:14" x14ac:dyDescent="0.25">
      <c r="J42" s="69">
        <v>8</v>
      </c>
    </row>
    <row r="43" spans="10:14" x14ac:dyDescent="0.25">
      <c r="J43" s="67">
        <f>SUM(J41:J42)</f>
        <v>12</v>
      </c>
      <c r="N43"/>
    </row>
    <row r="46" spans="10:14" x14ac:dyDescent="0.25">
      <c r="L46"/>
      <c r="M46"/>
    </row>
    <row r="64" spans="7:7" x14ac:dyDescent="0.25">
      <c r="G64" s="70"/>
    </row>
    <row r="65" spans="4:7" x14ac:dyDescent="0.25">
      <c r="G65" s="70"/>
    </row>
    <row r="66" spans="4:7" x14ac:dyDescent="0.25">
      <c r="G66" s="70"/>
    </row>
    <row r="67" spans="4:7" x14ac:dyDescent="0.25">
      <c r="D67" s="71"/>
      <c r="G67" s="70"/>
    </row>
    <row r="86" ht="17.45" customHeight="1" x14ac:dyDescent="0.25"/>
  </sheetData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88"/>
  <sheetViews>
    <sheetView showGridLines="0" zoomScaleNormal="100" zoomScalePageLayoutView="125" workbookViewId="0"/>
  </sheetViews>
  <sheetFormatPr defaultColWidth="8.85546875" defaultRowHeight="15" customHeight="1" x14ac:dyDescent="0.25"/>
  <cols>
    <col min="1" max="1" width="12.7109375" style="79" customWidth="1"/>
    <col min="2" max="2" width="82.85546875" style="83" customWidth="1"/>
    <col min="3" max="4" width="13.28515625" style="83" customWidth="1"/>
    <col min="5" max="5" width="2.28515625" style="83" customWidth="1"/>
    <col min="6" max="6" width="26.42578125" style="83" customWidth="1"/>
    <col min="7" max="7" width="13.28515625" style="83" customWidth="1"/>
    <col min="8" max="16384" width="8.85546875" style="83"/>
  </cols>
  <sheetData>
    <row r="1" spans="1:13" ht="60" customHeight="1" x14ac:dyDescent="0.5">
      <c r="A1" s="10" t="s">
        <v>38</v>
      </c>
      <c r="B1" s="80"/>
      <c r="C1" s="81"/>
      <c r="D1" s="82"/>
      <c r="E1" s="82"/>
      <c r="F1" s="82"/>
      <c r="G1" s="82"/>
    </row>
    <row r="2" spans="1:13" ht="15" customHeight="1" x14ac:dyDescent="0.25">
      <c r="A2" s="79" t="s">
        <v>39</v>
      </c>
      <c r="C2" s="84" t="s">
        <v>53</v>
      </c>
      <c r="D2" s="85" t="s">
        <v>69</v>
      </c>
      <c r="F2" s="84" t="s">
        <v>71</v>
      </c>
      <c r="G2" s="85" t="s">
        <v>69</v>
      </c>
    </row>
    <row r="3" spans="1:13" ht="15" customHeight="1" x14ac:dyDescent="0.25">
      <c r="A3" s="110" t="s">
        <v>40</v>
      </c>
      <c r="B3" s="86"/>
      <c r="C3" s="116" t="s">
        <v>54</v>
      </c>
      <c r="D3" s="116">
        <v>50</v>
      </c>
      <c r="F3" s="116" t="s">
        <v>72</v>
      </c>
      <c r="G3" s="116">
        <v>50</v>
      </c>
    </row>
    <row r="4" spans="1:13" ht="15" customHeight="1" x14ac:dyDescent="0.25">
      <c r="A4" s="110" t="s">
        <v>301</v>
      </c>
      <c r="C4" s="116" t="s">
        <v>55</v>
      </c>
      <c r="D4" s="116">
        <v>20</v>
      </c>
      <c r="E4" s="87"/>
      <c r="F4" s="116" t="s">
        <v>73</v>
      </c>
      <c r="G4" s="116">
        <v>30</v>
      </c>
    </row>
    <row r="5" spans="1:13" s="87" customFormat="1" ht="15" customHeight="1" x14ac:dyDescent="0.25">
      <c r="A5" s="10" t="s">
        <v>41</v>
      </c>
      <c r="C5" s="116" t="s">
        <v>56</v>
      </c>
      <c r="D5" s="116">
        <v>60</v>
      </c>
      <c r="F5" s="116" t="s">
        <v>74</v>
      </c>
      <c r="G5" s="116">
        <v>10</v>
      </c>
    </row>
    <row r="6" spans="1:13" s="87" customFormat="1" ht="15" customHeight="1" x14ac:dyDescent="0.25">
      <c r="A6" s="79" t="s">
        <v>10</v>
      </c>
      <c r="B6" s="88"/>
      <c r="C6" s="116" t="s">
        <v>57</v>
      </c>
      <c r="D6" s="117">
        <v>40</v>
      </c>
      <c r="F6" s="116" t="s">
        <v>75</v>
      </c>
      <c r="G6" s="117">
        <v>50</v>
      </c>
    </row>
    <row r="7" spans="1:13" s="87" customFormat="1" ht="15" customHeight="1" x14ac:dyDescent="0.25">
      <c r="A7" s="79" t="s">
        <v>42</v>
      </c>
      <c r="C7" s="127" t="s">
        <v>58</v>
      </c>
      <c r="D7" s="118">
        <f>SUM(D3:D6)</f>
        <v>170</v>
      </c>
      <c r="F7" s="127" t="s">
        <v>58</v>
      </c>
      <c r="G7" s="118"/>
      <c r="M7" s="89"/>
    </row>
    <row r="8" spans="1:13" s="87" customFormat="1" ht="15" customHeight="1" x14ac:dyDescent="0.25">
      <c r="A8" s="79" t="s">
        <v>11</v>
      </c>
      <c r="M8" s="89"/>
    </row>
    <row r="9" spans="1:13" s="87" customFormat="1" ht="15" customHeight="1" x14ac:dyDescent="0.25">
      <c r="A9" s="79" t="s">
        <v>43</v>
      </c>
      <c r="C9" s="84" t="s">
        <v>59</v>
      </c>
      <c r="D9" s="85" t="s">
        <v>69</v>
      </c>
      <c r="F9" s="84" t="s">
        <v>59</v>
      </c>
      <c r="G9" s="85" t="s">
        <v>69</v>
      </c>
      <c r="M9" s="89"/>
    </row>
    <row r="10" spans="1:13" s="87" customFormat="1" ht="15" customHeight="1" x14ac:dyDescent="0.3">
      <c r="A10" s="90" t="s">
        <v>44</v>
      </c>
      <c r="C10" s="116" t="s">
        <v>60</v>
      </c>
      <c r="D10" s="116">
        <v>50</v>
      </c>
      <c r="F10" s="116" t="s">
        <v>60</v>
      </c>
      <c r="G10" s="116">
        <v>50</v>
      </c>
      <c r="M10" s="89"/>
    </row>
    <row r="11" spans="1:13" s="87" customFormat="1" ht="15" customHeight="1" x14ac:dyDescent="0.25">
      <c r="A11" s="79" t="s">
        <v>45</v>
      </c>
      <c r="C11" s="116" t="s">
        <v>61</v>
      </c>
      <c r="D11" s="116">
        <v>100</v>
      </c>
      <c r="F11" s="116" t="s">
        <v>61</v>
      </c>
      <c r="G11" s="116">
        <v>100</v>
      </c>
      <c r="M11" s="89"/>
    </row>
    <row r="12" spans="1:13" s="87" customFormat="1" ht="15" customHeight="1" x14ac:dyDescent="0.25">
      <c r="A12" s="79" t="s">
        <v>46</v>
      </c>
      <c r="C12" s="116" t="s">
        <v>62</v>
      </c>
      <c r="D12" s="116">
        <v>40</v>
      </c>
      <c r="F12" s="116" t="s">
        <v>62</v>
      </c>
      <c r="G12" s="116">
        <v>40</v>
      </c>
      <c r="M12" s="89"/>
    </row>
    <row r="13" spans="1:13" s="87" customFormat="1" ht="15" customHeight="1" x14ac:dyDescent="0.25">
      <c r="A13" s="79" t="s">
        <v>47</v>
      </c>
      <c r="C13" s="116" t="s">
        <v>63</v>
      </c>
      <c r="D13" s="116">
        <v>50</v>
      </c>
      <c r="F13" s="116" t="s">
        <v>63</v>
      </c>
      <c r="G13" s="116">
        <v>50</v>
      </c>
      <c r="M13" s="89"/>
    </row>
    <row r="14" spans="1:13" s="87" customFormat="1" ht="15" customHeight="1" thickBot="1" x14ac:dyDescent="0.3">
      <c r="A14" s="141" t="s">
        <v>307</v>
      </c>
      <c r="C14" s="116" t="s">
        <v>64</v>
      </c>
      <c r="D14" s="116">
        <v>20</v>
      </c>
      <c r="F14" s="116" t="s">
        <v>64</v>
      </c>
      <c r="G14" s="116">
        <v>20</v>
      </c>
      <c r="M14" s="89"/>
    </row>
    <row r="15" spans="1:13" s="87" customFormat="1" ht="15" customHeight="1" thickTop="1" thickBot="1" x14ac:dyDescent="0.3">
      <c r="A15" s="79" t="s">
        <v>22</v>
      </c>
      <c r="C15" s="127" t="s">
        <v>58</v>
      </c>
      <c r="D15" s="115"/>
      <c r="F15" s="127" t="s">
        <v>76</v>
      </c>
      <c r="G15" s="91"/>
      <c r="M15" s="89"/>
    </row>
    <row r="16" spans="1:13" s="87" customFormat="1" ht="15" customHeight="1" thickTop="1" x14ac:dyDescent="0.25">
      <c r="A16" s="79" t="s">
        <v>48</v>
      </c>
      <c r="M16" s="89"/>
    </row>
    <row r="17" spans="1:13" s="87" customFormat="1" ht="15" customHeight="1" x14ac:dyDescent="0.25">
      <c r="A17" s="79" t="s">
        <v>49</v>
      </c>
      <c r="M17" s="89"/>
    </row>
    <row r="18" spans="1:13" s="87" customFormat="1" ht="15" customHeight="1" x14ac:dyDescent="0.25">
      <c r="A18" s="79" t="s">
        <v>50</v>
      </c>
      <c r="M18" s="89"/>
    </row>
    <row r="19" spans="1:13" s="87" customFormat="1" ht="15" customHeight="1" x14ac:dyDescent="0.25">
      <c r="A19" s="79" t="s">
        <v>27</v>
      </c>
      <c r="C19" s="89"/>
      <c r="M19" s="89"/>
    </row>
    <row r="20" spans="1:13" s="87" customFormat="1" ht="15" customHeight="1" x14ac:dyDescent="0.25">
      <c r="A20" s="79" t="s">
        <v>51</v>
      </c>
      <c r="M20" s="89"/>
    </row>
    <row r="21" spans="1:13" s="87" customFormat="1" ht="15" customHeight="1" x14ac:dyDescent="0.25">
      <c r="A21" s="79" t="s">
        <v>11</v>
      </c>
      <c r="M21" s="89"/>
    </row>
    <row r="22" spans="1:13" s="87" customFormat="1" ht="15" customHeight="1" x14ac:dyDescent="0.25">
      <c r="A22" s="79"/>
      <c r="M22" s="89"/>
    </row>
    <row r="23" spans="1:13" s="87" customFormat="1" ht="15" customHeight="1" x14ac:dyDescent="0.25">
      <c r="A23" s="79"/>
    </row>
    <row r="26" spans="1:13" ht="15" customHeight="1" x14ac:dyDescent="0.25">
      <c r="H26" s="89"/>
    </row>
    <row r="33" spans="3:7" ht="15" customHeight="1" x14ac:dyDescent="0.25">
      <c r="F33" s="92"/>
      <c r="G33" s="92"/>
    </row>
    <row r="34" spans="3:7" ht="15" customHeight="1" x14ac:dyDescent="0.25">
      <c r="C34" s="84" t="s">
        <v>53</v>
      </c>
      <c r="D34" s="85" t="s">
        <v>69</v>
      </c>
      <c r="F34" s="92"/>
      <c r="G34" s="92"/>
    </row>
    <row r="35" spans="3:7" ht="15" customHeight="1" x14ac:dyDescent="0.25">
      <c r="C35" s="116" t="s">
        <v>54</v>
      </c>
      <c r="D35" s="116">
        <v>50</v>
      </c>
      <c r="E35" s="87"/>
      <c r="F35" s="92"/>
      <c r="G35" s="92"/>
    </row>
    <row r="36" spans="3:7" ht="15" customHeight="1" x14ac:dyDescent="0.25">
      <c r="C36" s="116" t="s">
        <v>55</v>
      </c>
      <c r="D36" s="116">
        <v>20</v>
      </c>
      <c r="E36" s="87"/>
      <c r="F36" s="92"/>
      <c r="G36" s="92"/>
    </row>
    <row r="37" spans="3:7" ht="15" customHeight="1" x14ac:dyDescent="0.25">
      <c r="C37" s="116" t="s">
        <v>56</v>
      </c>
      <c r="D37" s="116">
        <v>60</v>
      </c>
      <c r="E37" s="87"/>
      <c r="F37" s="92"/>
      <c r="G37" s="92"/>
    </row>
    <row r="38" spans="3:7" ht="15" customHeight="1" x14ac:dyDescent="0.25">
      <c r="C38" s="116" t="s">
        <v>57</v>
      </c>
      <c r="D38" s="116">
        <v>40</v>
      </c>
      <c r="E38" s="87"/>
      <c r="F38" s="92"/>
      <c r="G38" s="92"/>
    </row>
    <row r="39" spans="3:7" ht="15" customHeight="1" x14ac:dyDescent="0.25">
      <c r="C39" s="127" t="s">
        <v>58</v>
      </c>
      <c r="D39" s="115">
        <f>SUM(D35:D38)</f>
        <v>170</v>
      </c>
      <c r="E39" s="87"/>
      <c r="F39" s="87"/>
      <c r="G39" s="87"/>
    </row>
    <row r="44" spans="3:7" ht="15" customHeight="1" x14ac:dyDescent="0.25">
      <c r="C44" s="84" t="s">
        <v>59</v>
      </c>
      <c r="D44" s="85" t="s">
        <v>69</v>
      </c>
      <c r="E44" s="87"/>
    </row>
    <row r="45" spans="3:7" ht="15" customHeight="1" x14ac:dyDescent="0.25">
      <c r="C45" s="116" t="s">
        <v>65</v>
      </c>
      <c r="D45" s="116">
        <v>20</v>
      </c>
      <c r="E45" s="87"/>
    </row>
    <row r="46" spans="3:7" ht="15" customHeight="1" x14ac:dyDescent="0.25">
      <c r="C46" s="116" t="s">
        <v>66</v>
      </c>
      <c r="D46" s="116">
        <v>10</v>
      </c>
      <c r="E46" s="87"/>
    </row>
    <row r="47" spans="3:7" ht="15" customHeight="1" x14ac:dyDescent="0.25">
      <c r="C47" s="116" t="s">
        <v>67</v>
      </c>
      <c r="D47" s="116">
        <v>10</v>
      </c>
      <c r="E47" s="87"/>
    </row>
    <row r="48" spans="3:7" ht="15" customHeight="1" x14ac:dyDescent="0.25">
      <c r="C48" s="116" t="s">
        <v>68</v>
      </c>
      <c r="D48" s="116">
        <v>40</v>
      </c>
      <c r="E48" s="87"/>
    </row>
    <row r="50" spans="4:7" ht="15" customHeight="1" x14ac:dyDescent="0.25">
      <c r="D50" s="85" t="s">
        <v>70</v>
      </c>
      <c r="F50" s="85" t="s">
        <v>77</v>
      </c>
      <c r="G50" s="85" t="s">
        <v>78</v>
      </c>
    </row>
    <row r="51" spans="4:7" ht="15" customHeight="1" x14ac:dyDescent="0.25">
      <c r="D51" s="93">
        <f>SUM(D45:D48,100)</f>
        <v>180</v>
      </c>
      <c r="F51" s="128">
        <v>100</v>
      </c>
      <c r="G51" s="128">
        <f>SUM(D45:D48,F51)</f>
        <v>180</v>
      </c>
    </row>
    <row r="79" spans="3:7" ht="15" customHeight="1" x14ac:dyDescent="0.25">
      <c r="C79" s="92"/>
      <c r="D79" s="92"/>
      <c r="E79" s="92"/>
      <c r="F79" s="92"/>
      <c r="G79" s="92"/>
    </row>
    <row r="80" spans="3:7" ht="15" customHeight="1" x14ac:dyDescent="0.25">
      <c r="C80" s="92"/>
      <c r="D80" s="92"/>
      <c r="E80" s="92"/>
      <c r="F80" s="92"/>
      <c r="G80" s="92"/>
    </row>
    <row r="81" spans="1:7" ht="15" customHeight="1" x14ac:dyDescent="0.25">
      <c r="C81" s="92"/>
      <c r="D81" s="92"/>
      <c r="E81" s="92"/>
      <c r="F81" s="92"/>
      <c r="G81" s="92"/>
    </row>
    <row r="82" spans="1:7" ht="15" customHeight="1" x14ac:dyDescent="0.25">
      <c r="C82" s="92"/>
      <c r="D82" s="92"/>
      <c r="E82" s="92"/>
      <c r="F82" s="92"/>
      <c r="G82" s="92"/>
    </row>
    <row r="83" spans="1:7" ht="15" customHeight="1" x14ac:dyDescent="0.25">
      <c r="C83" s="92"/>
      <c r="D83" s="92"/>
      <c r="E83" s="92"/>
      <c r="F83" s="92"/>
      <c r="G83" s="92"/>
    </row>
    <row r="84" spans="1:7" ht="15" customHeight="1" x14ac:dyDescent="0.25">
      <c r="C84" s="92"/>
      <c r="D84" s="92"/>
      <c r="E84" s="92"/>
      <c r="F84" s="92"/>
      <c r="G84" s="92"/>
    </row>
    <row r="85" spans="1:7" ht="15" customHeight="1" x14ac:dyDescent="0.25">
      <c r="C85" s="92"/>
      <c r="D85" s="92"/>
      <c r="E85" s="92"/>
      <c r="F85" s="92"/>
      <c r="G85" s="92"/>
    </row>
    <row r="86" spans="1:7" ht="15" customHeight="1" x14ac:dyDescent="0.25">
      <c r="C86" s="92"/>
      <c r="D86" s="92"/>
      <c r="E86" s="92"/>
      <c r="F86" s="92"/>
      <c r="G86" s="92"/>
    </row>
    <row r="87" spans="1:7" ht="15" customHeight="1" x14ac:dyDescent="0.25">
      <c r="A87" s="79" t="s">
        <v>27</v>
      </c>
      <c r="C87" s="92"/>
      <c r="D87" s="92"/>
      <c r="E87" s="92"/>
      <c r="F87" s="92"/>
      <c r="G87" s="92"/>
    </row>
    <row r="88" spans="1:7" ht="15" customHeight="1" x14ac:dyDescent="0.25">
      <c r="A88" s="79" t="s">
        <v>52</v>
      </c>
    </row>
  </sheetData>
  <hyperlinks>
    <hyperlink ref="A87" r:id="rId1" tooltip="Общие сведения о бесплатных учебных веб-курсах по Excel" xr:uid="{00000000-0004-0000-0200-000000000000}"/>
  </hyperlinks>
  <pageMargins left="0.7" right="0.7" top="0.75" bottom="0.75" header="0.3" footer="0.3"/>
  <pageSetup paperSize="9" orientation="landscape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46"/>
  <sheetViews>
    <sheetView showGridLines="0" workbookViewId="0"/>
  </sheetViews>
  <sheetFormatPr defaultColWidth="8.85546875" defaultRowHeight="15" x14ac:dyDescent="0.25"/>
  <cols>
    <col min="1" max="1" width="12.7109375" style="16" customWidth="1"/>
    <col min="2" max="2" width="82.85546875" style="4" customWidth="1"/>
    <col min="3" max="3" width="13.28515625" style="10" customWidth="1"/>
    <col min="4" max="4" width="13.28515625" style="4" customWidth="1"/>
    <col min="5" max="5" width="2.28515625" style="4" customWidth="1"/>
    <col min="6" max="6" width="13.28515625" style="5" customWidth="1"/>
    <col min="7" max="7" width="13.28515625" style="4" customWidth="1"/>
    <col min="8" max="16384" width="8.85546875" style="4"/>
  </cols>
  <sheetData>
    <row r="1" spans="1:10" ht="60" customHeight="1" x14ac:dyDescent="0.25">
      <c r="A1" s="17" t="s">
        <v>79</v>
      </c>
      <c r="B1" s="46"/>
      <c r="C1" s="81"/>
      <c r="D1" s="94"/>
      <c r="E1" s="94"/>
      <c r="F1" s="94"/>
      <c r="G1" s="94"/>
      <c r="H1" s="46"/>
      <c r="I1" s="46"/>
      <c r="J1" s="46"/>
    </row>
    <row r="2" spans="1:10" ht="15" customHeight="1" x14ac:dyDescent="0.3">
      <c r="A2" s="90" t="s">
        <v>80</v>
      </c>
      <c r="B2" s="46"/>
      <c r="C2" s="8" t="s">
        <v>53</v>
      </c>
      <c r="D2" s="9" t="s">
        <v>69</v>
      </c>
      <c r="E2" s="48"/>
      <c r="F2" s="12" t="s">
        <v>71</v>
      </c>
      <c r="G2" s="9" t="s">
        <v>69</v>
      </c>
      <c r="H2" s="46"/>
      <c r="I2" s="46"/>
      <c r="J2" s="6"/>
    </row>
    <row r="3" spans="1:10" ht="15" customHeight="1" x14ac:dyDescent="0.3">
      <c r="A3" s="90" t="s">
        <v>298</v>
      </c>
      <c r="B3" s="46"/>
      <c r="C3" s="120" t="s">
        <v>54</v>
      </c>
      <c r="D3" s="121">
        <v>50</v>
      </c>
      <c r="E3" s="48"/>
      <c r="F3" s="122" t="s">
        <v>72</v>
      </c>
      <c r="G3" s="121">
        <v>50</v>
      </c>
      <c r="H3" s="46"/>
      <c r="I3" s="46"/>
      <c r="J3" s="6"/>
    </row>
    <row r="4" spans="1:10" ht="15" customHeight="1" x14ac:dyDescent="0.3">
      <c r="A4" s="90" t="s">
        <v>81</v>
      </c>
      <c r="B4" s="46"/>
      <c r="C4" s="120" t="s">
        <v>55</v>
      </c>
      <c r="D4" s="121">
        <v>20</v>
      </c>
      <c r="E4" s="48"/>
      <c r="F4" s="122" t="s">
        <v>73</v>
      </c>
      <c r="G4" s="121">
        <v>30</v>
      </c>
      <c r="H4" s="46"/>
      <c r="I4" s="46"/>
      <c r="J4" s="6"/>
    </row>
    <row r="5" spans="1:10" s="5" customFormat="1" ht="15" customHeight="1" x14ac:dyDescent="0.3">
      <c r="A5" s="90" t="s">
        <v>297</v>
      </c>
      <c r="B5" s="47"/>
      <c r="C5" s="120" t="s">
        <v>56</v>
      </c>
      <c r="D5" s="121">
        <v>60</v>
      </c>
      <c r="E5" s="48"/>
      <c r="F5" s="122" t="s">
        <v>74</v>
      </c>
      <c r="G5" s="121">
        <v>10</v>
      </c>
      <c r="H5" s="47"/>
      <c r="I5" s="47"/>
      <c r="J5" s="6"/>
    </row>
    <row r="6" spans="1:10" s="5" customFormat="1" ht="15" customHeight="1" x14ac:dyDescent="0.25">
      <c r="A6" s="101" t="s">
        <v>82</v>
      </c>
      <c r="B6" s="47"/>
      <c r="C6" s="120" t="s">
        <v>57</v>
      </c>
      <c r="D6" s="121">
        <v>40</v>
      </c>
      <c r="E6" s="48"/>
      <c r="F6" s="122" t="s">
        <v>75</v>
      </c>
      <c r="G6" s="121">
        <v>50</v>
      </c>
      <c r="H6" s="47"/>
      <c r="I6" s="47"/>
      <c r="J6" s="6"/>
    </row>
    <row r="7" spans="1:10" s="5" customFormat="1" ht="15" customHeight="1" x14ac:dyDescent="0.25">
      <c r="A7" s="30" t="s">
        <v>83</v>
      </c>
      <c r="B7" s="47"/>
      <c r="C7" s="11" t="s">
        <v>90</v>
      </c>
      <c r="D7" s="119"/>
      <c r="E7" s="48"/>
      <c r="F7" s="11" t="s">
        <v>90</v>
      </c>
      <c r="G7" s="119"/>
      <c r="H7" s="47"/>
      <c r="I7" s="47"/>
      <c r="J7" s="6"/>
    </row>
    <row r="8" spans="1:10" s="5" customFormat="1" ht="15" customHeight="1" x14ac:dyDescent="0.25">
      <c r="A8" s="19" t="s">
        <v>84</v>
      </c>
      <c r="B8" s="47"/>
      <c r="C8" s="47"/>
      <c r="D8" s="48"/>
      <c r="E8" s="48"/>
      <c r="F8" s="47"/>
      <c r="G8" s="48"/>
      <c r="H8" s="47"/>
      <c r="I8" s="47"/>
      <c r="J8" s="6"/>
    </row>
    <row r="9" spans="1:10" s="5" customFormat="1" ht="15" customHeight="1" x14ac:dyDescent="0.25">
      <c r="A9" s="101" t="s">
        <v>85</v>
      </c>
      <c r="B9" s="47"/>
      <c r="C9" s="8" t="s">
        <v>59</v>
      </c>
      <c r="D9" s="9" t="s">
        <v>69</v>
      </c>
      <c r="E9" s="48"/>
      <c r="F9" s="12" t="s">
        <v>59</v>
      </c>
      <c r="G9" s="9" t="s">
        <v>69</v>
      </c>
      <c r="H9" s="47"/>
      <c r="I9" s="47"/>
      <c r="J9" s="6"/>
    </row>
    <row r="10" spans="1:10" s="5" customFormat="1" ht="15" customHeight="1" x14ac:dyDescent="0.25">
      <c r="A10" s="30" t="s">
        <v>22</v>
      </c>
      <c r="B10" s="47"/>
      <c r="C10" s="120" t="s">
        <v>60</v>
      </c>
      <c r="D10" s="121">
        <v>50</v>
      </c>
      <c r="E10" s="48"/>
      <c r="F10" s="122" t="s">
        <v>60</v>
      </c>
      <c r="G10" s="121">
        <v>50</v>
      </c>
      <c r="H10" s="47"/>
      <c r="I10" s="47"/>
      <c r="J10" s="6"/>
    </row>
    <row r="11" spans="1:10" s="5" customFormat="1" ht="15" customHeight="1" x14ac:dyDescent="0.25">
      <c r="A11" s="19" t="s">
        <v>86</v>
      </c>
      <c r="B11" s="47"/>
      <c r="C11" s="120" t="s">
        <v>61</v>
      </c>
      <c r="D11" s="121">
        <v>100</v>
      </c>
      <c r="E11" s="48"/>
      <c r="F11" s="122" t="s">
        <v>61</v>
      </c>
      <c r="G11" s="121">
        <v>100</v>
      </c>
      <c r="H11" s="47"/>
      <c r="I11" s="47"/>
      <c r="J11" s="6"/>
    </row>
    <row r="12" spans="1:10" s="5" customFormat="1" ht="15" customHeight="1" x14ac:dyDescent="0.25">
      <c r="A12" s="19" t="s">
        <v>87</v>
      </c>
      <c r="B12" s="47"/>
      <c r="C12" s="120" t="s">
        <v>62</v>
      </c>
      <c r="D12" s="121">
        <v>40</v>
      </c>
      <c r="E12" s="48"/>
      <c r="F12" s="122" t="s">
        <v>62</v>
      </c>
      <c r="G12" s="121">
        <v>40</v>
      </c>
      <c r="H12" s="47"/>
      <c r="I12" s="47"/>
      <c r="J12" s="6"/>
    </row>
    <row r="13" spans="1:10" s="5" customFormat="1" ht="15" customHeight="1" x14ac:dyDescent="0.25">
      <c r="A13" s="19" t="s">
        <v>88</v>
      </c>
      <c r="B13" s="47"/>
      <c r="C13" s="120" t="s">
        <v>63</v>
      </c>
      <c r="D13" s="121">
        <v>50</v>
      </c>
      <c r="E13" s="48"/>
      <c r="F13" s="122" t="s">
        <v>63</v>
      </c>
      <c r="G13" s="121">
        <v>50</v>
      </c>
      <c r="H13" s="47"/>
      <c r="I13" s="47"/>
      <c r="J13" s="6"/>
    </row>
    <row r="14" spans="1:10" s="5" customFormat="1" ht="15" customHeight="1" thickBot="1" x14ac:dyDescent="0.3">
      <c r="A14" s="19" t="s">
        <v>89</v>
      </c>
      <c r="B14" s="47"/>
      <c r="C14" s="120" t="s">
        <v>64</v>
      </c>
      <c r="D14" s="121">
        <v>20</v>
      </c>
      <c r="E14" s="48"/>
      <c r="F14" s="122" t="s">
        <v>64</v>
      </c>
      <c r="G14" s="121">
        <v>20</v>
      </c>
      <c r="H14" s="47"/>
      <c r="I14" s="47"/>
      <c r="J14" s="47"/>
    </row>
    <row r="15" spans="1:10" s="5" customFormat="1" ht="15" customHeight="1" thickTop="1" thickBot="1" x14ac:dyDescent="0.3">
      <c r="A15" s="29"/>
      <c r="B15" s="47"/>
      <c r="C15" s="11" t="s">
        <v>90</v>
      </c>
      <c r="D15" s="119"/>
      <c r="E15" s="48"/>
      <c r="F15" s="47"/>
      <c r="G15" s="97"/>
      <c r="H15" s="47"/>
      <c r="I15" s="47"/>
      <c r="J15" s="47"/>
    </row>
    <row r="16" spans="1:10" s="5" customFormat="1" ht="15" customHeight="1" thickTop="1" x14ac:dyDescent="0.25">
      <c r="A16" s="19"/>
      <c r="B16" s="47"/>
      <c r="C16" s="47"/>
      <c r="D16" s="47"/>
      <c r="E16" s="47"/>
      <c r="F16" s="47"/>
      <c r="G16" s="47"/>
      <c r="H16" s="47"/>
      <c r="I16" s="47"/>
      <c r="J16" s="47"/>
    </row>
    <row r="17" spans="1:3" s="5" customFormat="1" ht="15" customHeight="1" x14ac:dyDescent="0.25">
      <c r="A17" s="19"/>
      <c r="B17" s="47"/>
      <c r="C17" s="10"/>
    </row>
    <row r="18" spans="1:3" s="5" customFormat="1" ht="15" customHeight="1" x14ac:dyDescent="0.25">
      <c r="A18" s="19"/>
      <c r="B18" s="47"/>
      <c r="C18" s="10"/>
    </row>
    <row r="19" spans="1:3" s="5" customFormat="1" ht="15" customHeight="1" x14ac:dyDescent="0.25">
      <c r="A19" s="19"/>
      <c r="B19" s="47"/>
      <c r="C19" s="10"/>
    </row>
    <row r="20" spans="1:3" s="5" customFormat="1" ht="15" customHeight="1" x14ac:dyDescent="0.25">
      <c r="A20" s="19"/>
      <c r="B20" s="47"/>
      <c r="C20" s="10"/>
    </row>
    <row r="21" spans="1:3" s="5" customFormat="1" ht="15" customHeight="1" x14ac:dyDescent="0.25">
      <c r="A21" s="19"/>
      <c r="B21" s="47"/>
      <c r="C21" s="10"/>
    </row>
    <row r="22" spans="1:3" s="5" customFormat="1" ht="15" customHeight="1" x14ac:dyDescent="0.25">
      <c r="A22" s="19"/>
      <c r="B22" s="47"/>
      <c r="C22" s="10"/>
    </row>
    <row r="23" spans="1:3" s="5" customFormat="1" ht="15" customHeight="1" x14ac:dyDescent="0.25">
      <c r="A23" s="19"/>
      <c r="B23" s="47"/>
      <c r="C23" s="10"/>
    </row>
    <row r="24" spans="1:3" s="5" customFormat="1" ht="15" customHeight="1" x14ac:dyDescent="0.25">
      <c r="A24" s="19"/>
      <c r="B24" s="47"/>
      <c r="C24" s="10"/>
    </row>
    <row r="25" spans="1:3" s="5" customFormat="1" ht="15" customHeight="1" x14ac:dyDescent="0.25">
      <c r="A25" s="19"/>
      <c r="B25" s="47"/>
      <c r="C25" s="10"/>
    </row>
    <row r="26" spans="1:3" s="5" customFormat="1" ht="15" customHeight="1" x14ac:dyDescent="0.25">
      <c r="A26" s="19"/>
      <c r="B26" s="47"/>
      <c r="C26" s="10"/>
    </row>
    <row r="27" spans="1:3" x14ac:dyDescent="0.25">
      <c r="A27" s="19"/>
      <c r="B27" s="46"/>
    </row>
    <row r="28" spans="1:3" x14ac:dyDescent="0.25">
      <c r="A28" s="19"/>
      <c r="B28" s="46"/>
    </row>
    <row r="29" spans="1:3" ht="15" customHeight="1" x14ac:dyDescent="0.25">
      <c r="A29" s="19"/>
      <c r="B29" s="46"/>
      <c r="C29" s="10" t="s">
        <v>91</v>
      </c>
    </row>
    <row r="30" spans="1:3" ht="15" customHeight="1" x14ac:dyDescent="0.25">
      <c r="A30" s="19"/>
      <c r="B30" s="46"/>
      <c r="C30" s="10" t="s">
        <v>92</v>
      </c>
    </row>
    <row r="31" spans="1:3" ht="15" customHeight="1" x14ac:dyDescent="0.25">
      <c r="A31" s="19"/>
      <c r="B31" s="46"/>
      <c r="C31" s="10" t="s">
        <v>93</v>
      </c>
    </row>
    <row r="32" spans="1:3" ht="15" customHeight="1" x14ac:dyDescent="0.25">
      <c r="A32" s="19"/>
      <c r="B32" s="46"/>
      <c r="C32" s="10" t="s">
        <v>94</v>
      </c>
    </row>
    <row r="33" spans="1:9" ht="15" customHeight="1" x14ac:dyDescent="0.25">
      <c r="A33" s="19"/>
      <c r="B33" s="46"/>
      <c r="C33" s="10" t="s">
        <v>95</v>
      </c>
      <c r="D33" s="46"/>
      <c r="E33" s="46"/>
      <c r="F33" s="47"/>
      <c r="G33" s="46"/>
      <c r="H33" s="46"/>
      <c r="I33" s="46"/>
    </row>
    <row r="34" spans="1:9" ht="15" customHeight="1" x14ac:dyDescent="0.25">
      <c r="A34" s="19"/>
      <c r="B34" s="46"/>
      <c r="C34" s="10" t="s">
        <v>96</v>
      </c>
      <c r="D34" s="46"/>
      <c r="E34" s="46"/>
      <c r="F34" s="47"/>
      <c r="G34" s="46"/>
      <c r="H34" s="46"/>
      <c r="I34" s="46"/>
    </row>
    <row r="35" spans="1:9" ht="15" customHeight="1" x14ac:dyDescent="0.25">
      <c r="A35" s="19"/>
      <c r="B35" s="46"/>
      <c r="C35" s="10" t="s">
        <v>97</v>
      </c>
      <c r="D35" s="46"/>
      <c r="E35" s="46"/>
      <c r="F35" s="47"/>
      <c r="G35" s="46"/>
      <c r="H35" s="46"/>
      <c r="I35" s="46"/>
    </row>
    <row r="36" spans="1:9" x14ac:dyDescent="0.25">
      <c r="A36" s="19"/>
      <c r="B36" s="46"/>
      <c r="D36" s="46"/>
      <c r="E36" s="46"/>
      <c r="F36" s="47"/>
      <c r="G36" s="46"/>
      <c r="H36" s="46"/>
      <c r="I36" s="46"/>
    </row>
    <row r="41" spans="1:9" ht="15" customHeight="1" x14ac:dyDescent="0.25">
      <c r="B41" s="46"/>
      <c r="C41" s="10" t="s">
        <v>22</v>
      </c>
      <c r="D41" s="46"/>
      <c r="E41" s="52"/>
      <c r="F41" s="47"/>
      <c r="G41" s="52"/>
      <c r="H41" s="52"/>
      <c r="I41" s="52"/>
    </row>
    <row r="42" spans="1:9" ht="15" customHeight="1" x14ac:dyDescent="0.25">
      <c r="B42" s="46"/>
      <c r="C42" s="10" t="s">
        <v>48</v>
      </c>
      <c r="D42" s="46"/>
      <c r="E42" s="52"/>
      <c r="F42" s="47"/>
      <c r="G42" s="52"/>
      <c r="H42" s="52"/>
      <c r="I42" s="52"/>
    </row>
    <row r="43" spans="1:9" ht="15" customHeight="1" x14ac:dyDescent="0.25">
      <c r="B43" s="46"/>
      <c r="C43" s="10" t="s">
        <v>98</v>
      </c>
      <c r="D43" s="46"/>
      <c r="E43" s="52"/>
      <c r="F43" s="47"/>
      <c r="G43" s="52"/>
      <c r="H43" s="52"/>
      <c r="I43" s="52"/>
    </row>
    <row r="44" spans="1:9" ht="15" customHeight="1" x14ac:dyDescent="0.25">
      <c r="B44" s="46"/>
      <c r="C44" s="10" t="s">
        <v>99</v>
      </c>
      <c r="D44" s="46"/>
      <c r="E44" s="52"/>
      <c r="F44" s="47"/>
      <c r="G44" s="52"/>
      <c r="H44" s="52"/>
      <c r="I44" s="52"/>
    </row>
    <row r="45" spans="1:9" ht="15" customHeight="1" x14ac:dyDescent="0.25">
      <c r="B45" s="46"/>
      <c r="C45" s="10" t="s">
        <v>27</v>
      </c>
      <c r="D45" s="46"/>
      <c r="E45" s="52"/>
      <c r="F45" s="47"/>
      <c r="G45" s="52"/>
      <c r="H45" s="52"/>
      <c r="I45" s="52"/>
    </row>
    <row r="46" spans="1:9" ht="15" customHeight="1" x14ac:dyDescent="0.25">
      <c r="B46" s="46"/>
      <c r="C46" s="10" t="s">
        <v>52</v>
      </c>
      <c r="D46" s="46"/>
      <c r="E46" s="46"/>
      <c r="F46" s="47"/>
      <c r="G46" s="46"/>
      <c r="H46" s="46"/>
      <c r="I46" s="46"/>
    </row>
  </sheetData>
  <hyperlinks>
    <hyperlink ref="C42" r:id="rId1" tooltip="Подробные сведения в Интернете о функции СУММ" xr:uid="{00000000-0004-0000-0300-000000000000}"/>
    <hyperlink ref="C43" r:id="rId2" tooltip="Подробные сведения в Интернете о функции СУММЕСЛИ" xr:uid="{00000000-0004-0000-0300-000001000000}"/>
    <hyperlink ref="C44" r:id="rId3" tooltip="Сведения в Интернете об использовании Excel в качестве калькулятора" xr:uid="{00000000-0004-0000-0300-000002000000}"/>
    <hyperlink ref="C45" r:id="rId4" tooltip="Общие сведения о бесплатных учебных веб-курсах по Excel" xr:uid="{00000000-0004-0000-0300-000003000000}"/>
  </hyperlinks>
  <pageMargins left="0.7" right="0.7" top="0.75" bottom="0.75" header="0.3" footer="0.3"/>
  <pageSetup paperSize="9" orientation="landscape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44"/>
  <sheetViews>
    <sheetView showGridLines="0" topLeftCell="A8" workbookViewId="0">
      <selection activeCell="C26" sqref="C26"/>
    </sheetView>
  </sheetViews>
  <sheetFormatPr defaultColWidth="8.85546875" defaultRowHeight="15" x14ac:dyDescent="0.25"/>
  <cols>
    <col min="1" max="1" width="12.7109375" style="20" customWidth="1"/>
    <col min="2" max="2" width="82.85546875" style="4" customWidth="1"/>
    <col min="3" max="3" width="26.42578125" style="4" customWidth="1"/>
    <col min="4" max="4" width="15.7109375" style="5" customWidth="1"/>
    <col min="5" max="5" width="2.28515625" style="4" customWidth="1"/>
    <col min="6" max="6" width="26.42578125" style="4" customWidth="1"/>
    <col min="7" max="7" width="15.7109375" style="4" customWidth="1"/>
    <col min="8" max="16384" width="8.85546875" style="4"/>
  </cols>
  <sheetData>
    <row r="1" spans="1:8" ht="60" customHeight="1" x14ac:dyDescent="0.25">
      <c r="A1" s="20" t="s">
        <v>100</v>
      </c>
      <c r="B1" s="46"/>
      <c r="C1" s="81"/>
      <c r="D1" s="94"/>
      <c r="E1" s="94"/>
      <c r="F1" s="94"/>
      <c r="G1" s="94"/>
      <c r="H1" s="46"/>
    </row>
    <row r="2" spans="1:8" ht="15" customHeight="1" x14ac:dyDescent="0.25">
      <c r="A2" s="18" t="s">
        <v>101</v>
      </c>
      <c r="B2" s="46"/>
      <c r="C2" s="8" t="s">
        <v>53</v>
      </c>
      <c r="D2" s="9" t="s">
        <v>69</v>
      </c>
      <c r="E2" s="48"/>
      <c r="F2" s="12" t="s">
        <v>71</v>
      </c>
      <c r="G2" s="9" t="s">
        <v>69</v>
      </c>
      <c r="H2" s="6"/>
    </row>
    <row r="3" spans="1:8" ht="15" customHeight="1" x14ac:dyDescent="0.25">
      <c r="A3" s="18" t="s">
        <v>102</v>
      </c>
      <c r="B3" s="46"/>
      <c r="C3" s="120" t="s">
        <v>54</v>
      </c>
      <c r="D3" s="121">
        <v>50</v>
      </c>
      <c r="E3" s="48"/>
      <c r="F3" s="122" t="s">
        <v>72</v>
      </c>
      <c r="G3" s="121">
        <v>50</v>
      </c>
      <c r="H3" s="6"/>
    </row>
    <row r="4" spans="1:8" ht="15" customHeight="1" x14ac:dyDescent="0.25">
      <c r="A4" s="102" t="s">
        <v>103</v>
      </c>
      <c r="B4" s="46"/>
      <c r="C4" s="120" t="s">
        <v>55</v>
      </c>
      <c r="D4" s="121">
        <v>20</v>
      </c>
      <c r="E4" s="48"/>
      <c r="F4" s="122" t="s">
        <v>73</v>
      </c>
      <c r="G4" s="121">
        <v>30</v>
      </c>
      <c r="H4" s="6"/>
    </row>
    <row r="5" spans="1:8" s="5" customFormat="1" ht="15" customHeight="1" x14ac:dyDescent="0.25">
      <c r="A5" s="102" t="s">
        <v>104</v>
      </c>
      <c r="B5" s="47"/>
      <c r="C5" s="120" t="s">
        <v>56</v>
      </c>
      <c r="D5" s="121">
        <v>60</v>
      </c>
      <c r="E5" s="48"/>
      <c r="F5" s="122" t="s">
        <v>74</v>
      </c>
      <c r="G5" s="121">
        <v>10</v>
      </c>
      <c r="H5" s="6"/>
    </row>
    <row r="6" spans="1:8" s="5" customFormat="1" ht="15" customHeight="1" x14ac:dyDescent="0.25">
      <c r="A6" s="102" t="s">
        <v>105</v>
      </c>
      <c r="B6" s="47"/>
      <c r="C6" s="120" t="s">
        <v>57</v>
      </c>
      <c r="D6" s="121">
        <v>40</v>
      </c>
      <c r="E6" s="48"/>
      <c r="F6" s="122" t="s">
        <v>75</v>
      </c>
      <c r="G6" s="121">
        <v>50</v>
      </c>
      <c r="H6" s="6"/>
    </row>
    <row r="7" spans="1:8" s="5" customFormat="1" ht="15" customHeight="1" x14ac:dyDescent="0.25">
      <c r="A7" s="103" t="s">
        <v>106</v>
      </c>
      <c r="B7" s="47"/>
      <c r="C7" s="11" t="s">
        <v>113</v>
      </c>
      <c r="D7" s="119"/>
      <c r="E7" s="48"/>
      <c r="F7" s="11" t="s">
        <v>115</v>
      </c>
      <c r="G7" s="119"/>
      <c r="H7" s="6"/>
    </row>
    <row r="8" spans="1:8" s="5" customFormat="1" ht="15" customHeight="1" x14ac:dyDescent="0.25">
      <c r="A8" s="19" t="s">
        <v>107</v>
      </c>
      <c r="B8" s="47"/>
      <c r="C8" s="47"/>
      <c r="D8" s="48"/>
      <c r="E8" s="48"/>
      <c r="F8" s="47"/>
      <c r="G8" s="48"/>
      <c r="H8" s="6"/>
    </row>
    <row r="9" spans="1:8" s="5" customFormat="1" ht="15" customHeight="1" x14ac:dyDescent="0.25">
      <c r="A9" s="19" t="s">
        <v>108</v>
      </c>
      <c r="B9" s="47"/>
      <c r="C9" s="8" t="s">
        <v>59</v>
      </c>
      <c r="D9" s="9" t="s">
        <v>69</v>
      </c>
      <c r="E9" s="48"/>
      <c r="F9" s="12" t="s">
        <v>59</v>
      </c>
      <c r="G9" s="9" t="s">
        <v>69</v>
      </c>
      <c r="H9" s="6"/>
    </row>
    <row r="10" spans="1:8" s="5" customFormat="1" ht="15" customHeight="1" x14ac:dyDescent="0.25">
      <c r="A10" s="18" t="s">
        <v>27</v>
      </c>
      <c r="B10" s="47"/>
      <c r="C10" s="120" t="s">
        <v>60</v>
      </c>
      <c r="D10" s="121">
        <v>50</v>
      </c>
      <c r="E10" s="48"/>
      <c r="F10" s="122" t="s">
        <v>60</v>
      </c>
      <c r="G10" s="121">
        <v>50</v>
      </c>
      <c r="H10" s="6"/>
    </row>
    <row r="11" spans="1:8" s="5" customFormat="1" ht="15" customHeight="1" x14ac:dyDescent="0.25">
      <c r="A11" s="103" t="s">
        <v>109</v>
      </c>
      <c r="B11" s="47"/>
      <c r="C11" s="120" t="s">
        <v>61</v>
      </c>
      <c r="D11" s="121">
        <v>100</v>
      </c>
      <c r="E11" s="48"/>
      <c r="F11" s="122" t="s">
        <v>61</v>
      </c>
      <c r="G11" s="121">
        <v>100</v>
      </c>
      <c r="H11" s="6"/>
    </row>
    <row r="12" spans="1:8" s="5" customFormat="1" ht="15" customHeight="1" x14ac:dyDescent="0.25">
      <c r="A12" s="19"/>
      <c r="B12" s="47"/>
      <c r="C12" s="120" t="s">
        <v>62</v>
      </c>
      <c r="D12" s="121">
        <v>40</v>
      </c>
      <c r="E12" s="48"/>
      <c r="F12" s="122" t="s">
        <v>62</v>
      </c>
      <c r="G12" s="121">
        <v>40</v>
      </c>
      <c r="H12" s="6"/>
    </row>
    <row r="13" spans="1:8" s="5" customFormat="1" ht="15" customHeight="1" x14ac:dyDescent="0.25">
      <c r="A13" s="19"/>
      <c r="B13" s="47"/>
      <c r="C13" s="120" t="s">
        <v>63</v>
      </c>
      <c r="D13" s="121">
        <v>50</v>
      </c>
      <c r="E13" s="48"/>
      <c r="F13" s="122" t="s">
        <v>63</v>
      </c>
      <c r="G13" s="121">
        <v>50</v>
      </c>
      <c r="H13" s="6"/>
    </row>
    <row r="14" spans="1:8" s="5" customFormat="1" ht="15" customHeight="1" x14ac:dyDescent="0.25">
      <c r="A14" s="19"/>
      <c r="B14" s="47"/>
      <c r="C14" s="120" t="s">
        <v>64</v>
      </c>
      <c r="D14" s="121">
        <v>20</v>
      </c>
      <c r="E14" s="48"/>
      <c r="F14" s="122" t="s">
        <v>64</v>
      </c>
      <c r="G14" s="121">
        <v>20</v>
      </c>
      <c r="H14" s="47"/>
    </row>
    <row r="15" spans="1:8" s="5" customFormat="1" ht="15" customHeight="1" x14ac:dyDescent="0.25">
      <c r="A15" s="20"/>
      <c r="B15" s="47"/>
      <c r="C15" s="11" t="s">
        <v>114</v>
      </c>
      <c r="D15" s="119"/>
      <c r="E15" s="48"/>
      <c r="F15" s="11"/>
      <c r="G15" s="119">
        <f>MIN(G10:G14,10)</f>
        <v>10</v>
      </c>
      <c r="H15" s="47"/>
    </row>
    <row r="16" spans="1:8" s="5" customFormat="1" ht="15" customHeight="1" x14ac:dyDescent="0.25">
      <c r="A16" s="20"/>
      <c r="B16" s="47"/>
      <c r="C16" s="47"/>
      <c r="D16" s="47"/>
      <c r="E16" s="47"/>
      <c r="F16" s="47"/>
      <c r="G16" s="47"/>
      <c r="H16" s="47"/>
    </row>
    <row r="17" spans="1:1" s="5" customFormat="1" ht="15" customHeight="1" x14ac:dyDescent="0.25">
      <c r="A17" s="20"/>
    </row>
    <row r="18" spans="1:1" s="5" customFormat="1" ht="15" customHeight="1" x14ac:dyDescent="0.25">
      <c r="A18" s="21"/>
    </row>
    <row r="19" spans="1:1" s="5" customFormat="1" ht="15" customHeight="1" x14ac:dyDescent="0.25">
      <c r="A19" s="18" t="s">
        <v>110</v>
      </c>
    </row>
    <row r="20" spans="1:1" s="5" customFormat="1" ht="15" customHeight="1" x14ac:dyDescent="0.25">
      <c r="A20" s="20"/>
    </row>
    <row r="21" spans="1:1" s="5" customFormat="1" ht="15" customHeight="1" x14ac:dyDescent="0.25">
      <c r="A21" s="18" t="s">
        <v>22</v>
      </c>
    </row>
    <row r="22" spans="1:1" s="5" customFormat="1" ht="15" customHeight="1" x14ac:dyDescent="0.25">
      <c r="A22" s="18" t="s">
        <v>111</v>
      </c>
    </row>
    <row r="23" spans="1:1" s="5" customFormat="1" ht="15" customHeight="1" x14ac:dyDescent="0.25">
      <c r="A23" s="18" t="s">
        <v>112</v>
      </c>
    </row>
    <row r="24" spans="1:1" s="5" customFormat="1" ht="15" customHeight="1" x14ac:dyDescent="0.25">
      <c r="A24" s="18" t="s">
        <v>23</v>
      </c>
    </row>
    <row r="25" spans="1:1" s="5" customFormat="1" ht="15" customHeight="1" x14ac:dyDescent="0.25">
      <c r="A25" s="18" t="s">
        <v>27</v>
      </c>
    </row>
    <row r="27" spans="1:1" ht="15" customHeight="1" x14ac:dyDescent="0.25"/>
    <row r="28" spans="1:1" ht="15" customHeight="1" x14ac:dyDescent="0.25"/>
    <row r="29" spans="1:1" ht="15" customHeight="1" x14ac:dyDescent="0.25"/>
    <row r="30" spans="1:1" ht="15" customHeight="1" x14ac:dyDescent="0.25"/>
    <row r="31" spans="1:1" ht="15" customHeight="1" x14ac:dyDescent="0.25"/>
    <row r="32" spans="1:1" ht="15" customHeight="1" x14ac:dyDescent="0.25"/>
    <row r="33" spans="3:7" ht="15" customHeight="1" x14ac:dyDescent="0.25">
      <c r="C33" s="46"/>
      <c r="D33" s="47"/>
      <c r="E33" s="46"/>
      <c r="F33" s="46"/>
      <c r="G33" s="46"/>
    </row>
    <row r="39" spans="3:7" ht="15" customHeight="1" x14ac:dyDescent="0.25">
      <c r="C39" s="52"/>
      <c r="D39" s="47"/>
      <c r="E39" s="52"/>
      <c r="F39" s="52"/>
      <c r="G39" s="52"/>
    </row>
    <row r="40" spans="3:7" ht="15" customHeight="1" x14ac:dyDescent="0.25">
      <c r="C40" s="52"/>
      <c r="D40" s="47"/>
      <c r="E40" s="52"/>
      <c r="F40" s="52"/>
      <c r="G40" s="52"/>
    </row>
    <row r="41" spans="3:7" ht="15" customHeight="1" x14ac:dyDescent="0.25">
      <c r="C41" s="52"/>
      <c r="D41" s="47"/>
      <c r="E41" s="52"/>
      <c r="F41" s="52"/>
      <c r="G41" s="52"/>
    </row>
    <row r="42" spans="3:7" ht="15" customHeight="1" x14ac:dyDescent="0.25">
      <c r="C42" s="52"/>
      <c r="D42" s="47"/>
      <c r="E42" s="52"/>
      <c r="F42" s="52"/>
      <c r="G42" s="52"/>
    </row>
    <row r="43" spans="3:7" ht="15" customHeight="1" x14ac:dyDescent="0.25">
      <c r="C43" s="52"/>
      <c r="D43" s="47"/>
      <c r="E43" s="52"/>
      <c r="F43" s="52"/>
      <c r="G43" s="52"/>
    </row>
    <row r="44" spans="3:7" ht="15" customHeight="1" x14ac:dyDescent="0.25">
      <c r="C44" s="46"/>
      <c r="D44" s="47"/>
      <c r="E44" s="46"/>
      <c r="F44" s="46"/>
      <c r="G44" s="46"/>
    </row>
  </sheetData>
  <pageMargins left="0.7" right="0.7" top="0.75" bottom="0.75" header="0.3" footer="0.3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47"/>
  <sheetViews>
    <sheetView showGridLines="0" showZeros="0" workbookViewId="0">
      <selection activeCell="D10" sqref="D10"/>
    </sheetView>
  </sheetViews>
  <sheetFormatPr defaultRowHeight="15" x14ac:dyDescent="0.25"/>
  <cols>
    <col min="1" max="1" width="12.7109375" customWidth="1"/>
    <col min="2" max="2" width="82.85546875" customWidth="1"/>
    <col min="3" max="3" width="23" bestFit="1" customWidth="1"/>
    <col min="4" max="4" width="15.140625" customWidth="1"/>
  </cols>
  <sheetData>
    <row r="1" spans="1:6" ht="60" customHeight="1" x14ac:dyDescent="0.25">
      <c r="A1" s="31" t="s">
        <v>116</v>
      </c>
    </row>
    <row r="2" spans="1:6" x14ac:dyDescent="0.25">
      <c r="A2" s="31" t="s">
        <v>117</v>
      </c>
    </row>
    <row r="3" spans="1:6" ht="33" x14ac:dyDescent="0.25">
      <c r="A3" s="31" t="s">
        <v>118</v>
      </c>
      <c r="C3" s="81"/>
      <c r="D3" s="95"/>
    </row>
    <row r="4" spans="1:6" x14ac:dyDescent="0.25">
      <c r="A4" s="31" t="s">
        <v>119</v>
      </c>
    </row>
    <row r="5" spans="1:6" x14ac:dyDescent="0.25">
      <c r="A5" s="31" t="s">
        <v>120</v>
      </c>
      <c r="C5" s="34" t="s">
        <v>116</v>
      </c>
      <c r="D5" s="34"/>
    </row>
    <row r="6" spans="1:6" ht="16.5" customHeight="1" x14ac:dyDescent="0.3">
      <c r="A6" s="31" t="s">
        <v>121</v>
      </c>
      <c r="C6" s="113" t="s">
        <v>129</v>
      </c>
      <c r="D6" s="138"/>
      <c r="F6" s="104" t="str">
        <f ca="1">IF(D6=TODAY(),"Ура!","")</f>
        <v/>
      </c>
    </row>
    <row r="7" spans="1:6" ht="16.5" customHeight="1" thickBot="1" x14ac:dyDescent="0.3">
      <c r="A7" s="33" t="s">
        <v>122</v>
      </c>
      <c r="C7" s="113" t="s">
        <v>130</v>
      </c>
      <c r="D7" s="138"/>
    </row>
    <row r="8" spans="1:6" ht="16.5" customHeight="1" thickTop="1" thickBot="1" x14ac:dyDescent="0.3">
      <c r="A8" s="31" t="s">
        <v>123</v>
      </c>
      <c r="C8" s="113" t="s">
        <v>131</v>
      </c>
      <c r="D8" s="123">
        <f>D7-D6</f>
        <v>0</v>
      </c>
    </row>
    <row r="9" spans="1:6" ht="15.75" thickTop="1" x14ac:dyDescent="0.25">
      <c r="A9" s="31" t="s">
        <v>124</v>
      </c>
    </row>
    <row r="10" spans="1:6" ht="15.75" customHeight="1" thickBot="1" x14ac:dyDescent="0.3">
      <c r="A10" s="33" t="s">
        <v>293</v>
      </c>
      <c r="C10" s="113" t="s">
        <v>132</v>
      </c>
      <c r="D10" s="124"/>
    </row>
    <row r="11" spans="1:6" ht="16.5" customHeight="1" thickTop="1" thickBot="1" x14ac:dyDescent="0.3">
      <c r="A11" s="33" t="s">
        <v>294</v>
      </c>
      <c r="C11" s="113" t="s">
        <v>133</v>
      </c>
      <c r="D11" s="139">
        <f>D6+D10</f>
        <v>0</v>
      </c>
    </row>
    <row r="12" spans="1:6" ht="15.75" thickTop="1" x14ac:dyDescent="0.25">
      <c r="A12" s="31" t="s">
        <v>125</v>
      </c>
    </row>
    <row r="13" spans="1:6" x14ac:dyDescent="0.25">
      <c r="A13" s="31" t="s">
        <v>20</v>
      </c>
    </row>
    <row r="14" spans="1:6" x14ac:dyDescent="0.25">
      <c r="A14" s="31" t="s">
        <v>21</v>
      </c>
    </row>
    <row r="15" spans="1:6" x14ac:dyDescent="0.25">
      <c r="A15" s="31" t="s">
        <v>22</v>
      </c>
    </row>
    <row r="16" spans="1:6" x14ac:dyDescent="0.25">
      <c r="A16" s="31" t="s">
        <v>126</v>
      </c>
    </row>
    <row r="17" spans="1:4" x14ac:dyDescent="0.25">
      <c r="A17" s="31" t="s">
        <v>127</v>
      </c>
    </row>
    <row r="18" spans="1:4" x14ac:dyDescent="0.25">
      <c r="A18" s="31" t="s">
        <v>128</v>
      </c>
    </row>
    <row r="19" spans="1:4" x14ac:dyDescent="0.25">
      <c r="A19" s="31" t="s">
        <v>27</v>
      </c>
    </row>
    <row r="25" spans="1:4" ht="15" customHeight="1" x14ac:dyDescent="0.25">
      <c r="C25" s="81"/>
      <c r="D25" s="95"/>
    </row>
    <row r="27" spans="1:4" x14ac:dyDescent="0.25">
      <c r="C27" s="34" t="s">
        <v>123</v>
      </c>
      <c r="D27" s="34"/>
    </row>
    <row r="28" spans="1:4" x14ac:dyDescent="0.25">
      <c r="C28" s="113" t="s">
        <v>134</v>
      </c>
      <c r="D28" s="130"/>
    </row>
    <row r="31" spans="1:4" x14ac:dyDescent="0.25">
      <c r="C31" s="34" t="s">
        <v>135</v>
      </c>
      <c r="D31" s="34"/>
    </row>
    <row r="32" spans="1:4" x14ac:dyDescent="0.25">
      <c r="C32" s="113" t="s">
        <v>136</v>
      </c>
      <c r="D32" s="131">
        <v>0.33333333333333331</v>
      </c>
    </row>
    <row r="33" spans="3:4" x14ac:dyDescent="0.25">
      <c r="C33" s="113" t="s">
        <v>137</v>
      </c>
      <c r="D33" s="131">
        <v>0.5</v>
      </c>
    </row>
    <row r="34" spans="3:4" x14ac:dyDescent="0.25">
      <c r="C34" s="113" t="s">
        <v>138</v>
      </c>
      <c r="D34" s="131">
        <v>0.54166666666666663</v>
      </c>
    </row>
    <row r="35" spans="3:4" ht="15.75" thickBot="1" x14ac:dyDescent="0.3">
      <c r="C35" s="113" t="s">
        <v>139</v>
      </c>
      <c r="D35" s="131">
        <v>0.70833333333333337</v>
      </c>
    </row>
    <row r="36" spans="3:4" ht="16.5" thickTop="1" thickBot="1" x14ac:dyDescent="0.3">
      <c r="C36" s="113" t="s">
        <v>140</v>
      </c>
      <c r="D36" s="123">
        <f>((D35-D32)-(D34-D33))*24</f>
        <v>8.0000000000000018</v>
      </c>
    </row>
    <row r="37" spans="3:4" ht="15.75" thickTop="1" x14ac:dyDescent="0.25"/>
    <row r="45" spans="3:4" x14ac:dyDescent="0.25">
      <c r="C45" s="34" t="s">
        <v>141</v>
      </c>
      <c r="D45" s="34"/>
    </row>
    <row r="46" spans="3:4" x14ac:dyDescent="0.25">
      <c r="C46" s="125" t="s">
        <v>142</v>
      </c>
      <c r="D46" s="140">
        <v>43005</v>
      </c>
    </row>
    <row r="47" spans="3:4" x14ac:dyDescent="0.25">
      <c r="C47" s="125" t="s">
        <v>143</v>
      </c>
      <c r="D47" s="132">
        <v>0.36944444444444446</v>
      </c>
    </row>
  </sheetData>
  <pageMargins left="0.7" right="0.7" top="0.75" bottom="0.75" header="0.3" footer="0.3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7"/>
  <sheetViews>
    <sheetView showGridLines="0" zoomScaleNormal="100" workbookViewId="0"/>
  </sheetViews>
  <sheetFormatPr defaultRowHeight="15" x14ac:dyDescent="0.25"/>
  <cols>
    <col min="1" max="1" width="12.7109375" style="31" customWidth="1"/>
    <col min="2" max="2" width="82.85546875" customWidth="1"/>
    <col min="3" max="3" width="32.42578125" customWidth="1"/>
    <col min="4" max="4" width="15" customWidth="1"/>
    <col min="5" max="5" width="22.42578125" bestFit="1" customWidth="1"/>
    <col min="6" max="6" width="21.85546875" customWidth="1"/>
  </cols>
  <sheetData>
    <row r="1" spans="1:6" ht="60" customHeight="1" x14ac:dyDescent="0.25">
      <c r="A1" s="31" t="s">
        <v>144</v>
      </c>
      <c r="C1" s="81"/>
      <c r="D1" s="95"/>
      <c r="E1" s="95"/>
      <c r="F1" s="95"/>
    </row>
    <row r="2" spans="1:6" x14ac:dyDescent="0.25">
      <c r="A2" s="31" t="s">
        <v>145</v>
      </c>
      <c r="C2" s="14" t="s">
        <v>152</v>
      </c>
      <c r="D2" s="14" t="s">
        <v>163</v>
      </c>
      <c r="E2" s="14" t="s">
        <v>172</v>
      </c>
      <c r="F2" s="14" t="s">
        <v>173</v>
      </c>
    </row>
    <row r="3" spans="1:6" x14ac:dyDescent="0.25">
      <c r="A3" s="31" t="s">
        <v>146</v>
      </c>
      <c r="C3" s="113" t="s">
        <v>153</v>
      </c>
      <c r="D3" s="113" t="s">
        <v>164</v>
      </c>
      <c r="E3" s="124" t="str">
        <f>D3&amp;", "&amp;C3</f>
        <v>Колесникова, Надежда</v>
      </c>
      <c r="F3" s="65" t="str">
        <f>C3&amp;" "&amp;D3</f>
        <v>Надежда Колесникова</v>
      </c>
    </row>
    <row r="4" spans="1:6" ht="15" customHeight="1" x14ac:dyDescent="0.25">
      <c r="A4" s="33" t="s">
        <v>302</v>
      </c>
      <c r="C4" s="113" t="s">
        <v>154</v>
      </c>
      <c r="D4" s="113" t="s">
        <v>165</v>
      </c>
      <c r="E4" s="124"/>
      <c r="F4" s="65"/>
    </row>
    <row r="5" spans="1:6" x14ac:dyDescent="0.25">
      <c r="A5" s="31" t="s">
        <v>147</v>
      </c>
      <c r="C5" s="113" t="s">
        <v>155</v>
      </c>
      <c r="D5" s="113" t="s">
        <v>166</v>
      </c>
      <c r="E5" s="124"/>
      <c r="F5" s="65"/>
    </row>
    <row r="6" spans="1:6" x14ac:dyDescent="0.25">
      <c r="A6" s="31" t="s">
        <v>10</v>
      </c>
      <c r="C6" s="113" t="s">
        <v>156</v>
      </c>
      <c r="D6" s="113" t="s">
        <v>167</v>
      </c>
      <c r="E6" s="124"/>
      <c r="F6" s="65"/>
    </row>
    <row r="7" spans="1:6" x14ac:dyDescent="0.25">
      <c r="A7" s="35" t="s">
        <v>21</v>
      </c>
      <c r="C7" s="113" t="s">
        <v>157</v>
      </c>
      <c r="D7" s="113" t="s">
        <v>168</v>
      </c>
      <c r="E7" s="124"/>
      <c r="F7" s="65"/>
    </row>
    <row r="8" spans="1:6" x14ac:dyDescent="0.25">
      <c r="A8" s="31" t="s">
        <v>148</v>
      </c>
      <c r="C8" s="113" t="s">
        <v>158</v>
      </c>
      <c r="D8" s="113" t="s">
        <v>169</v>
      </c>
      <c r="E8" s="124"/>
      <c r="F8" s="65"/>
    </row>
    <row r="9" spans="1:6" x14ac:dyDescent="0.25">
      <c r="A9" s="31" t="s">
        <v>149</v>
      </c>
      <c r="C9" s="113" t="s">
        <v>159</v>
      </c>
      <c r="D9" s="113" t="s">
        <v>170</v>
      </c>
      <c r="E9" s="124"/>
      <c r="F9" s="65"/>
    </row>
    <row r="10" spans="1:6" ht="15" customHeight="1" x14ac:dyDescent="0.25">
      <c r="A10" s="33" t="s">
        <v>305</v>
      </c>
      <c r="C10" s="113" t="s">
        <v>160</v>
      </c>
      <c r="D10" s="113" t="s">
        <v>171</v>
      </c>
      <c r="E10" s="124"/>
      <c r="F10" s="65"/>
    </row>
    <row r="11" spans="1:6" ht="15" customHeight="1" x14ac:dyDescent="0.25">
      <c r="A11" s="33" t="s">
        <v>303</v>
      </c>
    </row>
    <row r="12" spans="1:6" ht="15" customHeight="1" x14ac:dyDescent="0.25">
      <c r="A12" s="33" t="s">
        <v>306</v>
      </c>
    </row>
    <row r="13" spans="1:6" x14ac:dyDescent="0.25">
      <c r="A13" s="31" t="s">
        <v>150</v>
      </c>
    </row>
    <row r="14" spans="1:6" x14ac:dyDescent="0.25">
      <c r="A14" s="31" t="s">
        <v>22</v>
      </c>
    </row>
    <row r="15" spans="1:6" x14ac:dyDescent="0.25">
      <c r="A15" s="31" t="s">
        <v>151</v>
      </c>
    </row>
    <row r="16" spans="1:6" x14ac:dyDescent="0.25">
      <c r="A16" s="31" t="s">
        <v>148</v>
      </c>
    </row>
    <row r="17" spans="1:4" x14ac:dyDescent="0.25">
      <c r="A17" s="31" t="s">
        <v>27</v>
      </c>
    </row>
    <row r="21" spans="1:4" x14ac:dyDescent="0.25">
      <c r="D21" s="13"/>
    </row>
    <row r="27" spans="1:4" x14ac:dyDescent="0.25">
      <c r="C27" s="34" t="s">
        <v>161</v>
      </c>
      <c r="D27" s="34"/>
    </row>
    <row r="28" spans="1:4" x14ac:dyDescent="0.25">
      <c r="C28" s="113" t="s">
        <v>129</v>
      </c>
      <c r="D28" s="138">
        <f ca="1">TODAY()</f>
        <v>43382</v>
      </c>
    </row>
    <row r="29" spans="1:4" x14ac:dyDescent="0.25">
      <c r="C29" s="113" t="s">
        <v>134</v>
      </c>
      <c r="D29" s="130">
        <f ca="1">NOW()</f>
        <v>43382.371620949074</v>
      </c>
    </row>
    <row r="31" spans="1:4" x14ac:dyDescent="0.25">
      <c r="C31" s="34" t="s">
        <v>148</v>
      </c>
      <c r="D31" s="34"/>
    </row>
    <row r="32" spans="1:4" x14ac:dyDescent="0.25">
      <c r="C32" s="113" t="str">
        <f ca="1">C28&amp;" "&amp;D28</f>
        <v>Сегодняшняя дата: 43382</v>
      </c>
      <c r="D32" s="113"/>
    </row>
    <row r="33" spans="3:4" x14ac:dyDescent="0.25">
      <c r="C33" s="113" t="str">
        <f ca="1">C29&amp;" "&amp;D29</f>
        <v>Текущее время: 43382,3716209491</v>
      </c>
      <c r="D33" s="113"/>
    </row>
    <row r="35" spans="3:4" x14ac:dyDescent="0.25">
      <c r="C35" s="34" t="s">
        <v>162</v>
      </c>
      <c r="D35" s="34"/>
    </row>
    <row r="36" spans="3:4" x14ac:dyDescent="0.25">
      <c r="C36" s="65" t="str">
        <f ca="1">C28 &amp;" "&amp; TEXT(D28,"ДД-ММ-ГГГГ")</f>
        <v>Сегодняшняя дата: 09-10-2018</v>
      </c>
      <c r="D36" s="65"/>
    </row>
    <row r="37" spans="3:4" x14ac:dyDescent="0.25">
      <c r="C37" s="65" t="str">
        <f ca="1">C29&amp;" "&amp;TEXT(D29,"ч:мм")</f>
        <v>Текущее время: 8:55</v>
      </c>
      <c r="D37" s="65"/>
    </row>
  </sheetData>
  <pageMargins left="0.7" right="0.7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37"/>
  <sheetViews>
    <sheetView showGridLines="0" zoomScaleNormal="100" workbookViewId="0"/>
  </sheetViews>
  <sheetFormatPr defaultRowHeight="15" x14ac:dyDescent="0.25"/>
  <cols>
    <col min="1" max="1" width="12.7109375" customWidth="1"/>
    <col min="2" max="2" width="82.85546875" customWidth="1"/>
    <col min="3" max="3" width="17.140625" customWidth="1"/>
    <col min="4" max="4" width="26.140625" bestFit="1" customWidth="1"/>
    <col min="5" max="5" width="10.7109375" bestFit="1" customWidth="1"/>
  </cols>
  <sheetData>
    <row r="1" spans="1:6" ht="60" customHeight="1" x14ac:dyDescent="0.25">
      <c r="A1" s="31" t="s">
        <v>174</v>
      </c>
      <c r="D1" s="95"/>
    </row>
    <row r="2" spans="1:6" x14ac:dyDescent="0.25">
      <c r="A2" s="31" t="s">
        <v>175</v>
      </c>
      <c r="E2" s="39"/>
      <c r="F2" s="39"/>
    </row>
    <row r="3" spans="1:6" ht="15" customHeight="1" x14ac:dyDescent="0.25">
      <c r="A3" s="33" t="s">
        <v>176</v>
      </c>
      <c r="E3" s="39"/>
      <c r="F3" s="39"/>
    </row>
    <row r="4" spans="1:6" ht="15" customHeight="1" x14ac:dyDescent="0.25">
      <c r="A4" s="33" t="s">
        <v>177</v>
      </c>
      <c r="E4" s="39"/>
      <c r="F4" s="39"/>
    </row>
    <row r="5" spans="1:6" ht="15" customHeight="1" x14ac:dyDescent="0.25">
      <c r="A5" s="33" t="s">
        <v>310</v>
      </c>
      <c r="C5" s="105"/>
      <c r="D5" s="106"/>
      <c r="E5" s="39"/>
      <c r="F5" s="39"/>
    </row>
    <row r="6" spans="1:6" x14ac:dyDescent="0.25">
      <c r="A6" s="31" t="s">
        <v>178</v>
      </c>
      <c r="C6" s="106"/>
      <c r="D6" s="106"/>
      <c r="E6" s="39"/>
      <c r="F6" s="39"/>
    </row>
    <row r="7" spans="1:6" x14ac:dyDescent="0.25">
      <c r="A7" s="31" t="s">
        <v>10</v>
      </c>
      <c r="C7" s="39"/>
      <c r="D7" s="39"/>
      <c r="E7" s="39"/>
      <c r="F7" s="39"/>
    </row>
    <row r="8" spans="1:6" x14ac:dyDescent="0.25">
      <c r="A8" s="31" t="s">
        <v>21</v>
      </c>
      <c r="C8" s="38" t="s">
        <v>174</v>
      </c>
      <c r="D8" s="38"/>
    </row>
    <row r="9" spans="1:6" x14ac:dyDescent="0.25">
      <c r="A9" s="31" t="s">
        <v>179</v>
      </c>
      <c r="C9" s="126" t="s">
        <v>189</v>
      </c>
      <c r="D9" s="129"/>
    </row>
    <row r="10" spans="1:6" x14ac:dyDescent="0.25">
      <c r="A10" s="35" t="s">
        <v>180</v>
      </c>
      <c r="C10" s="126" t="s">
        <v>190</v>
      </c>
      <c r="D10" s="129"/>
    </row>
    <row r="11" spans="1:6" ht="15" customHeight="1" thickBot="1" x14ac:dyDescent="0.3">
      <c r="A11" s="33" t="s">
        <v>181</v>
      </c>
      <c r="C11" s="39"/>
      <c r="D11" s="39"/>
    </row>
    <row r="12" spans="1:6" ht="15" customHeight="1" thickTop="1" thickBot="1" x14ac:dyDescent="0.3">
      <c r="A12" s="33" t="s">
        <v>182</v>
      </c>
      <c r="C12" s="63">
        <v>50</v>
      </c>
      <c r="D12" s="129" t="str">
        <f>IF(C12&lt;100,"Меньше 100","100 или больше")</f>
        <v>Меньше 100</v>
      </c>
    </row>
    <row r="13" spans="1:6" ht="15" customHeight="1" thickTop="1" x14ac:dyDescent="0.25">
      <c r="A13" s="33" t="s">
        <v>183</v>
      </c>
    </row>
    <row r="14" spans="1:6" x14ac:dyDescent="0.25">
      <c r="A14" s="31" t="s">
        <v>184</v>
      </c>
    </row>
    <row r="15" spans="1:6" ht="15" customHeight="1" x14ac:dyDescent="0.25">
      <c r="A15" s="33" t="s">
        <v>185</v>
      </c>
    </row>
    <row r="16" spans="1:6" x14ac:dyDescent="0.25">
      <c r="A16" s="31" t="s">
        <v>20</v>
      </c>
    </row>
    <row r="17" spans="1:6" x14ac:dyDescent="0.25">
      <c r="A17" s="31" t="s">
        <v>21</v>
      </c>
    </row>
    <row r="18" spans="1:6" x14ac:dyDescent="0.25">
      <c r="A18" s="31" t="s">
        <v>22</v>
      </c>
      <c r="C18" s="13"/>
    </row>
    <row r="19" spans="1:6" x14ac:dyDescent="0.25">
      <c r="A19" s="31" t="s">
        <v>186</v>
      </c>
    </row>
    <row r="20" spans="1:6" x14ac:dyDescent="0.25">
      <c r="A20" s="31" t="s">
        <v>187</v>
      </c>
    </row>
    <row r="21" spans="1:6" x14ac:dyDescent="0.25">
      <c r="A21" s="31" t="s">
        <v>188</v>
      </c>
    </row>
    <row r="22" spans="1:6" x14ac:dyDescent="0.25">
      <c r="A22" s="31" t="s">
        <v>27</v>
      </c>
    </row>
    <row r="26" spans="1:6" ht="15.75" thickBot="1" x14ac:dyDescent="0.3"/>
    <row r="27" spans="1:6" ht="15.75" thickBot="1" x14ac:dyDescent="0.3">
      <c r="C27" s="73" t="s">
        <v>59</v>
      </c>
      <c r="D27" s="74" t="s">
        <v>69</v>
      </c>
      <c r="E27" s="74" t="s">
        <v>197</v>
      </c>
      <c r="F27" s="74" t="s">
        <v>196</v>
      </c>
    </row>
    <row r="28" spans="1:6" x14ac:dyDescent="0.25">
      <c r="C28" s="75" t="s">
        <v>191</v>
      </c>
      <c r="D28" s="75">
        <v>2</v>
      </c>
      <c r="E28" s="133">
        <v>9.7607115856835538</v>
      </c>
      <c r="F28" s="133">
        <f>'Операторы ЕСЛИ'!$E$28:$E$29*'Операторы ЕСЛИ'!$D$28:$D$29</f>
        <v>19.521423171367108</v>
      </c>
    </row>
    <row r="29" spans="1:6" ht="15.75" thickBot="1" x14ac:dyDescent="0.3">
      <c r="C29" s="66" t="s">
        <v>192</v>
      </c>
      <c r="D29" s="66">
        <v>3</v>
      </c>
      <c r="E29" s="134">
        <v>3.4189202461080024</v>
      </c>
      <c r="F29" s="134">
        <f>'Операторы ЕСЛИ'!$E$28:$E$29*'Операторы ЕСЛИ'!$D$28:$D$29</f>
        <v>10.256760738324008</v>
      </c>
    </row>
    <row r="30" spans="1:6" x14ac:dyDescent="0.25">
      <c r="C30" s="39"/>
      <c r="D30" s="39"/>
      <c r="E30" s="39"/>
      <c r="F30" s="39"/>
    </row>
    <row r="31" spans="1:6" x14ac:dyDescent="0.25">
      <c r="C31" s="39"/>
      <c r="D31" s="39" t="s">
        <v>193</v>
      </c>
      <c r="E31" s="135">
        <f>SUM('Операторы ЕСЛИ'!$E$28:$E$29)</f>
        <v>13.179631831791557</v>
      </c>
      <c r="F31" s="135">
        <f>SUM('Операторы ЕСЛИ'!F28:F29)</f>
        <v>29.778183909691116</v>
      </c>
    </row>
    <row r="32" spans="1:6" ht="15.75" thickBot="1" x14ac:dyDescent="0.3">
      <c r="C32" s="39"/>
      <c r="D32" s="39"/>
      <c r="E32" s="39"/>
      <c r="F32" s="39"/>
    </row>
    <row r="33" spans="3:6" ht="16.5" thickTop="1" thickBot="1" x14ac:dyDescent="0.3">
      <c r="C33" s="39"/>
      <c r="D33" s="39" t="s">
        <v>194</v>
      </c>
      <c r="E33" s="63" t="s">
        <v>198</v>
      </c>
      <c r="F33" s="136">
        <f>IF(E33="Да",F31*НДС,0)</f>
        <v>2.456700172549517</v>
      </c>
    </row>
    <row r="34" spans="3:6" ht="16.5" thickTop="1" thickBot="1" x14ac:dyDescent="0.3">
      <c r="C34" s="39"/>
      <c r="D34" s="39"/>
      <c r="E34" s="39"/>
      <c r="F34" s="39"/>
    </row>
    <row r="35" spans="3:6" ht="16.5" thickTop="1" thickBot="1" x14ac:dyDescent="0.3">
      <c r="C35" s="39"/>
      <c r="D35" s="39" t="s">
        <v>195</v>
      </c>
      <c r="E35" s="63" t="s">
        <v>198</v>
      </c>
      <c r="F35" s="136">
        <f>IF(E35="Да",SUM(D28:D29)*1.25,0)</f>
        <v>6.25</v>
      </c>
    </row>
    <row r="36" spans="3:6" ht="15.75" thickTop="1" x14ac:dyDescent="0.25"/>
    <row r="37" spans="3:6" x14ac:dyDescent="0.25">
      <c r="D37" s="39" t="s">
        <v>196</v>
      </c>
      <c r="E37" s="39"/>
      <c r="F37" s="135">
        <f>SUM(F33,F31,F35)</f>
        <v>38.484884082240633</v>
      </c>
    </row>
  </sheetData>
  <dataValidations count="1">
    <dataValidation type="list" allowBlank="1" showInputMessage="1" showErrorMessage="1" sqref="E33 E35" xr:uid="{00000000-0002-0000-0700-000000000000}">
      <formula1>"Да,Нет"</formula1>
    </dataValidation>
  </dataValidations>
  <hyperlinks>
    <hyperlink ref="M25" r:id="rId1" display="https://support.office.com/en-us/article/IF-function-69AED7C9-4E8A-4755-A9BC-AA8BBFF73BE2" xr:uid="{00000000-0004-0000-0700-000000000000}"/>
  </hyperlinks>
  <pageMargins left="0.7" right="0.7" top="0.75" bottom="0.75" header="0.3" footer="0.3"/>
  <pageSetup paperSize="9" orientation="landscape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48"/>
  <sheetViews>
    <sheetView showGridLines="0" zoomScaleNormal="100" workbookViewId="0"/>
  </sheetViews>
  <sheetFormatPr defaultColWidth="8.85546875" defaultRowHeight="15" customHeight="1" x14ac:dyDescent="0.25"/>
  <cols>
    <col min="1" max="1" width="12.7109375" style="10" customWidth="1"/>
    <col min="2" max="2" width="82.85546875" style="4" customWidth="1"/>
    <col min="3" max="3" width="13.28515625" style="4" customWidth="1"/>
    <col min="4" max="4" width="13.28515625" style="5" customWidth="1"/>
    <col min="5" max="5" width="2.28515625" style="4" customWidth="1"/>
    <col min="6" max="7" width="13.28515625" style="4" customWidth="1"/>
    <col min="8" max="16384" width="8.85546875" style="4"/>
  </cols>
  <sheetData>
    <row r="1" spans="1:7" ht="60" customHeight="1" x14ac:dyDescent="0.25">
      <c r="A1" s="10" t="s">
        <v>199</v>
      </c>
      <c r="B1" s="46"/>
      <c r="D1" s="94"/>
      <c r="E1" s="94"/>
      <c r="F1" s="94"/>
      <c r="G1" s="94"/>
    </row>
    <row r="2" spans="1:7" ht="15" customHeight="1" x14ac:dyDescent="0.25">
      <c r="A2" s="10" t="s">
        <v>200</v>
      </c>
      <c r="B2" s="46"/>
    </row>
    <row r="3" spans="1:7" ht="15" customHeight="1" x14ac:dyDescent="0.25">
      <c r="A3" s="10" t="s">
        <v>201</v>
      </c>
      <c r="B3" s="46"/>
    </row>
    <row r="4" spans="1:7" ht="15" customHeight="1" x14ac:dyDescent="0.25">
      <c r="A4" s="10" t="s">
        <v>202</v>
      </c>
      <c r="B4" s="46"/>
    </row>
    <row r="5" spans="1:7" s="5" customFormat="1" ht="15" customHeight="1" x14ac:dyDescent="0.25">
      <c r="A5" s="28" t="s">
        <v>203</v>
      </c>
      <c r="B5" s="47"/>
    </row>
    <row r="6" spans="1:7" s="5" customFormat="1" ht="15" customHeight="1" x14ac:dyDescent="0.25">
      <c r="A6" s="28" t="s">
        <v>204</v>
      </c>
      <c r="B6" s="47"/>
    </row>
    <row r="7" spans="1:7" s="5" customFormat="1" ht="15" customHeight="1" x14ac:dyDescent="0.25">
      <c r="A7" s="28" t="s">
        <v>205</v>
      </c>
      <c r="B7" s="47"/>
    </row>
    <row r="8" spans="1:7" s="5" customFormat="1" ht="15" customHeight="1" x14ac:dyDescent="0.25">
      <c r="A8" s="101" t="s">
        <v>206</v>
      </c>
      <c r="B8" s="47"/>
    </row>
    <row r="9" spans="1:7" s="5" customFormat="1" ht="15" customHeight="1" x14ac:dyDescent="0.25">
      <c r="A9" s="101" t="s">
        <v>207</v>
      </c>
      <c r="B9" s="47"/>
    </row>
    <row r="10" spans="1:7" s="5" customFormat="1" ht="15" customHeight="1" x14ac:dyDescent="0.25">
      <c r="A10" s="28" t="s">
        <v>208</v>
      </c>
      <c r="B10" s="47"/>
    </row>
    <row r="11" spans="1:7" s="5" customFormat="1" ht="15" customHeight="1" x14ac:dyDescent="0.25">
      <c r="A11" s="28" t="s">
        <v>10</v>
      </c>
      <c r="B11" s="47"/>
    </row>
    <row r="12" spans="1:7" s="5" customFormat="1" ht="15" customHeight="1" x14ac:dyDescent="0.25">
      <c r="A12" s="28" t="s">
        <v>21</v>
      </c>
      <c r="B12" s="47"/>
    </row>
    <row r="13" spans="1:7" s="5" customFormat="1" ht="15" customHeight="1" x14ac:dyDescent="0.25">
      <c r="A13" s="28" t="s">
        <v>209</v>
      </c>
      <c r="B13" s="47"/>
      <c r="C13" s="105"/>
      <c r="D13" s="109"/>
      <c r="E13" s="109"/>
      <c r="F13" s="109"/>
      <c r="G13" s="109"/>
    </row>
    <row r="14" spans="1:7" s="5" customFormat="1" ht="15" customHeight="1" x14ac:dyDescent="0.25">
      <c r="A14" s="28" t="s">
        <v>210</v>
      </c>
      <c r="B14" s="47"/>
      <c r="C14" s="109"/>
      <c r="D14" s="109"/>
      <c r="E14" s="109"/>
      <c r="F14" s="109"/>
      <c r="G14" s="109"/>
    </row>
    <row r="15" spans="1:7" s="5" customFormat="1" ht="15" customHeight="1" x14ac:dyDescent="0.25">
      <c r="A15" s="101" t="s">
        <v>304</v>
      </c>
      <c r="B15" s="47"/>
    </row>
    <row r="16" spans="1:7" s="5" customFormat="1" ht="15" customHeight="1" x14ac:dyDescent="0.25">
      <c r="A16" s="33" t="s">
        <v>211</v>
      </c>
      <c r="B16" s="47"/>
      <c r="C16" s="40" t="s">
        <v>53</v>
      </c>
      <c r="D16" s="37" t="s">
        <v>69</v>
      </c>
      <c r="E16" s="27"/>
      <c r="F16" s="36" t="s">
        <v>71</v>
      </c>
      <c r="G16" s="37" t="s">
        <v>69</v>
      </c>
    </row>
    <row r="17" spans="1:12" s="5" customFormat="1" ht="15" customHeight="1" x14ac:dyDescent="0.25">
      <c r="A17" s="28" t="s">
        <v>212</v>
      </c>
      <c r="C17" s="120" t="s">
        <v>54</v>
      </c>
      <c r="D17" s="121">
        <v>50</v>
      </c>
      <c r="E17" s="48"/>
      <c r="F17" s="122" t="s">
        <v>72</v>
      </c>
      <c r="G17" s="121">
        <v>50</v>
      </c>
      <c r="H17" s="47"/>
      <c r="I17" s="47"/>
      <c r="J17" s="47"/>
      <c r="K17" s="47"/>
      <c r="L17" s="47"/>
    </row>
    <row r="18" spans="1:12" s="5" customFormat="1" ht="15" customHeight="1" x14ac:dyDescent="0.25">
      <c r="A18" s="28" t="s">
        <v>20</v>
      </c>
      <c r="C18" s="120" t="s">
        <v>55</v>
      </c>
      <c r="D18" s="121">
        <v>20</v>
      </c>
      <c r="E18" s="48"/>
      <c r="F18" s="122" t="s">
        <v>73</v>
      </c>
      <c r="G18" s="121">
        <v>30</v>
      </c>
      <c r="H18" s="47"/>
      <c r="I18" s="47"/>
      <c r="J18" s="47"/>
      <c r="K18" s="47"/>
      <c r="L18" s="47"/>
    </row>
    <row r="19" spans="1:12" s="5" customFormat="1" ht="15" customHeight="1" x14ac:dyDescent="0.25">
      <c r="A19" s="28" t="s">
        <v>21</v>
      </c>
      <c r="C19" s="120" t="s">
        <v>56</v>
      </c>
      <c r="D19" s="121">
        <v>60</v>
      </c>
      <c r="E19" s="48"/>
      <c r="F19" s="122" t="s">
        <v>74</v>
      </c>
      <c r="G19" s="121">
        <v>10</v>
      </c>
      <c r="H19" s="47"/>
      <c r="I19" s="47"/>
      <c r="J19" s="47"/>
      <c r="K19" s="47"/>
      <c r="L19" s="47"/>
    </row>
    <row r="20" spans="1:12" s="5" customFormat="1" ht="15" customHeight="1" x14ac:dyDescent="0.25">
      <c r="A20" s="28" t="s">
        <v>22</v>
      </c>
      <c r="C20" s="120" t="s">
        <v>57</v>
      </c>
      <c r="D20" s="121">
        <v>40</v>
      </c>
      <c r="E20" s="48"/>
      <c r="F20" s="122" t="s">
        <v>75</v>
      </c>
      <c r="G20" s="121">
        <v>50</v>
      </c>
      <c r="H20" s="47"/>
      <c r="I20" s="47"/>
      <c r="J20" s="47"/>
      <c r="K20" s="47"/>
      <c r="L20" s="47"/>
    </row>
    <row r="21" spans="1:12" s="5" customFormat="1" ht="15" customHeight="1" thickBot="1" x14ac:dyDescent="0.3">
      <c r="A21" s="28" t="s">
        <v>213</v>
      </c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" customFormat="1" ht="15" customHeight="1" thickTop="1" thickBot="1" x14ac:dyDescent="0.3">
      <c r="A22" s="28" t="s">
        <v>214</v>
      </c>
      <c r="C22" s="64" t="s">
        <v>54</v>
      </c>
      <c r="D22" s="51"/>
      <c r="E22" s="48"/>
      <c r="F22" s="64" t="s">
        <v>74</v>
      </c>
      <c r="G22" s="51"/>
      <c r="H22" s="47"/>
      <c r="I22" s="47"/>
      <c r="J22" s="47"/>
      <c r="K22" s="47"/>
      <c r="L22" s="47"/>
    </row>
    <row r="23" spans="1:12" s="5" customFormat="1" ht="15" customHeight="1" thickTop="1" x14ac:dyDescent="0.25">
      <c r="A23" s="28" t="s">
        <v>215</v>
      </c>
      <c r="C23" s="47"/>
      <c r="D23" s="48"/>
      <c r="E23" s="48"/>
      <c r="F23" s="47"/>
      <c r="G23" s="48"/>
      <c r="H23" s="47"/>
      <c r="I23" s="47"/>
      <c r="J23" s="47"/>
      <c r="K23" s="47"/>
      <c r="L23" s="47"/>
    </row>
    <row r="24" spans="1:12" s="5" customFormat="1" ht="15" customHeight="1" x14ac:dyDescent="0.25">
      <c r="A24" s="28" t="s">
        <v>216</v>
      </c>
      <c r="H24" s="47"/>
      <c r="I24" s="47"/>
      <c r="J24" s="47"/>
      <c r="K24" s="47"/>
      <c r="L24" s="47"/>
    </row>
    <row r="25" spans="1:12" s="5" customFormat="1" ht="15" customHeight="1" x14ac:dyDescent="0.25">
      <c r="A25" s="28" t="s">
        <v>27</v>
      </c>
      <c r="H25" s="47"/>
      <c r="I25" s="47"/>
      <c r="J25" s="47"/>
      <c r="K25" s="47"/>
      <c r="L25" s="47"/>
    </row>
    <row r="26" spans="1:12" ht="15" customHeight="1" x14ac:dyDescent="0.25">
      <c r="C26" s="5"/>
      <c r="E26" s="5"/>
      <c r="F26" s="5"/>
      <c r="G26" s="5"/>
      <c r="H26" s="46"/>
      <c r="I26" s="47"/>
      <c r="J26" s="47"/>
      <c r="K26" s="47"/>
      <c r="L26" s="47"/>
    </row>
    <row r="27" spans="1:12" ht="15" customHeight="1" x14ac:dyDescent="0.25">
      <c r="C27" s="5"/>
      <c r="E27" s="5"/>
      <c r="F27" s="5"/>
      <c r="G27" s="5"/>
      <c r="H27" s="46"/>
      <c r="I27" s="46"/>
      <c r="J27" s="46"/>
      <c r="K27" s="46"/>
      <c r="L27" s="46"/>
    </row>
    <row r="28" spans="1:12" ht="15" customHeight="1" x14ac:dyDescent="0.25">
      <c r="C28" s="5"/>
      <c r="E28" s="5"/>
      <c r="F28" s="5"/>
      <c r="G28" s="5"/>
      <c r="H28" s="46"/>
      <c r="I28" s="46"/>
      <c r="J28" s="46"/>
      <c r="K28" s="46"/>
      <c r="L28" s="46"/>
    </row>
    <row r="29" spans="1:12" ht="15" customHeight="1" x14ac:dyDescent="0.25">
      <c r="H29" s="46"/>
      <c r="I29" s="46"/>
      <c r="J29" s="46"/>
      <c r="K29" s="46"/>
      <c r="L29" s="46"/>
    </row>
    <row r="30" spans="1:12" ht="15" customHeight="1" x14ac:dyDescent="0.25">
      <c r="H30" s="46"/>
      <c r="I30" s="46"/>
      <c r="J30" s="46"/>
      <c r="K30" s="46"/>
      <c r="L30" s="46"/>
    </row>
    <row r="31" spans="1:12" ht="15" customHeight="1" x14ac:dyDescent="0.25">
      <c r="H31" s="46"/>
      <c r="I31" s="46"/>
      <c r="J31" s="46"/>
      <c r="K31" s="46"/>
      <c r="L31" s="46"/>
    </row>
    <row r="32" spans="1:12" ht="15" customHeight="1" x14ac:dyDescent="0.25">
      <c r="H32" s="46"/>
      <c r="I32" s="46"/>
      <c r="J32" s="46"/>
      <c r="K32" s="46"/>
      <c r="L32" s="46"/>
    </row>
    <row r="33" spans="2:7" ht="15" customHeight="1" x14ac:dyDescent="0.25">
      <c r="B33" s="46"/>
      <c r="C33" s="107"/>
      <c r="D33" s="108"/>
      <c r="E33" s="108"/>
      <c r="F33" s="108"/>
      <c r="G33" s="108"/>
    </row>
    <row r="34" spans="2:7" ht="15" customHeight="1" x14ac:dyDescent="0.25">
      <c r="B34" s="46"/>
      <c r="C34" s="108"/>
      <c r="D34" s="108"/>
      <c r="E34" s="108"/>
      <c r="F34" s="108"/>
      <c r="G34" s="108"/>
    </row>
    <row r="35" spans="2:7" ht="15" customHeight="1" x14ac:dyDescent="0.25">
      <c r="B35" s="46"/>
      <c r="C35" s="96" t="s">
        <v>217</v>
      </c>
      <c r="D35" s="94"/>
      <c r="E35" s="94"/>
      <c r="F35" s="94"/>
      <c r="G35" s="94"/>
    </row>
    <row r="36" spans="2:7" ht="15" customHeight="1" x14ac:dyDescent="0.25">
      <c r="B36" s="46"/>
      <c r="C36" s="40" t="s">
        <v>59</v>
      </c>
      <c r="D36" s="37" t="s">
        <v>69</v>
      </c>
      <c r="E36" s="27"/>
      <c r="F36" s="36" t="s">
        <v>59</v>
      </c>
      <c r="G36" s="37" t="s">
        <v>69</v>
      </c>
    </row>
    <row r="37" spans="2:7" ht="15" customHeight="1" x14ac:dyDescent="0.25">
      <c r="B37" s="46"/>
      <c r="C37" s="120" t="s">
        <v>60</v>
      </c>
      <c r="D37" s="121">
        <v>50</v>
      </c>
      <c r="E37" s="48"/>
      <c r="F37" s="122" t="s">
        <v>60</v>
      </c>
      <c r="G37" s="121">
        <v>50</v>
      </c>
    </row>
    <row r="38" spans="2:7" ht="15" customHeight="1" x14ac:dyDescent="0.25">
      <c r="B38" s="46"/>
      <c r="C38" s="120" t="s">
        <v>61</v>
      </c>
      <c r="D38" s="121">
        <v>100</v>
      </c>
      <c r="E38" s="48"/>
      <c r="F38" s="122" t="s">
        <v>61</v>
      </c>
      <c r="G38" s="121">
        <v>100</v>
      </c>
    </row>
    <row r="39" spans="2:7" ht="15" customHeight="1" x14ac:dyDescent="0.25">
      <c r="B39" s="46"/>
      <c r="C39" s="120" t="s">
        <v>62</v>
      </c>
      <c r="D39" s="121">
        <v>40</v>
      </c>
      <c r="E39" s="48"/>
      <c r="F39" s="122" t="s">
        <v>62</v>
      </c>
      <c r="G39" s="121">
        <v>40</v>
      </c>
    </row>
    <row r="40" spans="2:7" ht="15" customHeight="1" x14ac:dyDescent="0.25">
      <c r="C40" s="120" t="s">
        <v>63</v>
      </c>
      <c r="D40" s="121">
        <v>50</v>
      </c>
      <c r="E40" s="48"/>
      <c r="F40" s="122" t="s">
        <v>63</v>
      </c>
      <c r="G40" s="121">
        <v>50</v>
      </c>
    </row>
    <row r="41" spans="2:7" ht="15" customHeight="1" x14ac:dyDescent="0.25">
      <c r="C41" s="120" t="s">
        <v>64</v>
      </c>
      <c r="D41" s="121">
        <v>20</v>
      </c>
      <c r="E41" s="48"/>
      <c r="F41" s="122" t="s">
        <v>64</v>
      </c>
      <c r="G41" s="121">
        <v>20</v>
      </c>
    </row>
    <row r="42" spans="2:7" ht="15" customHeight="1" thickBot="1" x14ac:dyDescent="0.3">
      <c r="C42" s="47"/>
      <c r="D42" s="47"/>
      <c r="E42" s="47"/>
      <c r="F42" s="47"/>
      <c r="G42" s="47"/>
    </row>
    <row r="43" spans="2:7" ht="15" customHeight="1" thickTop="1" thickBot="1" x14ac:dyDescent="0.3">
      <c r="B43" s="46"/>
      <c r="C43" s="64"/>
      <c r="D43" s="51" t="e">
        <f>VLOOKUP(C43,C37:D41,2,FALSE)</f>
        <v>#N/A</v>
      </c>
      <c r="E43" s="48"/>
      <c r="F43" s="98" t="s">
        <v>218</v>
      </c>
      <c r="G43" s="51" t="str">
        <f>IFERROR(VLOOKUP(F43,F37:G41,2,FALSE),"")</f>
        <v/>
      </c>
    </row>
    <row r="44" spans="2:7" ht="15" customHeight="1" thickTop="1" x14ac:dyDescent="0.25">
      <c r="B44" s="46"/>
      <c r="C44" s="52"/>
      <c r="D44" s="47"/>
      <c r="E44" s="52"/>
      <c r="F44" s="52"/>
      <c r="G44" s="52"/>
    </row>
    <row r="45" spans="2:7" ht="15" customHeight="1" x14ac:dyDescent="0.25">
      <c r="B45" s="46"/>
      <c r="C45" s="52"/>
      <c r="D45" s="47"/>
      <c r="E45" s="52"/>
      <c r="F45" s="52"/>
      <c r="G45" s="52"/>
    </row>
    <row r="46" spans="2:7" ht="15" customHeight="1" x14ac:dyDescent="0.25">
      <c r="B46" s="46"/>
      <c r="C46" s="52"/>
      <c r="D46" s="47"/>
      <c r="E46" s="52"/>
      <c r="F46" s="52"/>
      <c r="G46" s="52"/>
    </row>
    <row r="47" spans="2:7" ht="15" customHeight="1" x14ac:dyDescent="0.25">
      <c r="B47" s="46"/>
      <c r="C47" s="52"/>
      <c r="D47" s="47"/>
      <c r="E47" s="52"/>
      <c r="F47" s="52"/>
      <c r="G47" s="52"/>
    </row>
    <row r="48" spans="2:7" ht="15" customHeight="1" x14ac:dyDescent="0.25">
      <c r="B48" s="46"/>
      <c r="C48" s="46"/>
      <c r="D48" s="47"/>
      <c r="E48" s="46"/>
      <c r="F48" s="46"/>
      <c r="G48" s="46"/>
    </row>
  </sheetData>
  <dataValidations count="4">
    <dataValidation type="list" allowBlank="1" showInputMessage="1" showErrorMessage="1" sqref="C22" xr:uid="{00000000-0002-0000-0800-000000000000}">
      <formula1>$C$17:$C$20</formula1>
    </dataValidation>
    <dataValidation type="list" allowBlank="1" showInputMessage="1" showErrorMessage="1" sqref="F22" xr:uid="{00000000-0002-0000-0800-000001000000}">
      <formula1>$F$17:$F$20</formula1>
    </dataValidation>
    <dataValidation type="list" allowBlank="1" showInputMessage="1" showErrorMessage="1" sqref="C43" xr:uid="{00000000-0002-0000-0800-000002000000}">
      <formula1>$C$37:$C$41</formula1>
    </dataValidation>
    <dataValidation type="list" allowBlank="1" showInputMessage="1" sqref="F43" xr:uid="{00000000-0002-0000-0800-000003000000}">
      <formula1>$F$37:$F$41</formula1>
    </dataValidation>
  </dataValidations>
  <pageMargins left="0.7" right="0.7" top="0.75" bottom="0.75" header="0.3" footer="0.3"/>
  <pageSetup paperSize="9" orientation="landscape" r:id="rId1"/>
  <ignoredErrors>
    <ignoredError sqref="D43" evalError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AH124"/>
  <sheetViews>
    <sheetView showGridLines="0" zoomScaleNormal="100" workbookViewId="0"/>
  </sheetViews>
  <sheetFormatPr defaultColWidth="8.85546875" defaultRowHeight="15" x14ac:dyDescent="0.25"/>
  <cols>
    <col min="1" max="1" width="12.7109375" style="10" customWidth="1"/>
    <col min="2" max="2" width="82.85546875" style="26" customWidth="1"/>
    <col min="3" max="3" width="14.85546875" style="22" customWidth="1"/>
    <col min="4" max="4" width="12.7109375" style="22" customWidth="1"/>
    <col min="5" max="5" width="17.42578125" style="22" bestFit="1" customWidth="1"/>
    <col min="6" max="7" width="12.7109375" style="22" customWidth="1"/>
    <col min="8" max="8" width="15.140625" style="22" customWidth="1"/>
    <col min="9" max="24" width="8.85546875" style="22"/>
    <col min="25" max="25" width="8.85546875" style="22" customWidth="1"/>
    <col min="26" max="26" width="12" style="22" hidden="1" customWidth="1"/>
    <col min="27" max="27" width="3.85546875" style="22" hidden="1" customWidth="1"/>
    <col min="28" max="28" width="11.28515625" style="22" hidden="1" customWidth="1"/>
    <col min="29" max="29" width="3.7109375" style="22" hidden="1" customWidth="1"/>
    <col min="30" max="30" width="13.85546875" style="22" hidden="1" customWidth="1"/>
    <col min="31" max="31" width="3.85546875" style="22" hidden="1" customWidth="1"/>
    <col min="32" max="32" width="11.28515625" style="22" hidden="1" customWidth="1"/>
    <col min="33" max="33" width="4" style="22" hidden="1" customWidth="1"/>
    <col min="34" max="34" width="11.85546875" style="22" hidden="1" customWidth="1"/>
    <col min="35" max="16384" width="8.85546875" style="22"/>
  </cols>
  <sheetData>
    <row r="1" spans="1:34" ht="60" customHeight="1" x14ac:dyDescent="0.25">
      <c r="A1" s="31" t="s">
        <v>219</v>
      </c>
      <c r="B1" s="10"/>
      <c r="C1" s="81"/>
      <c r="D1" s="94"/>
      <c r="E1" s="94"/>
      <c r="F1" s="94"/>
      <c r="G1" s="94"/>
      <c r="H1" s="94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</row>
    <row r="2" spans="1:34" ht="15" customHeight="1" x14ac:dyDescent="0.25">
      <c r="A2" s="31" t="s">
        <v>220</v>
      </c>
      <c r="B2" s="10"/>
      <c r="C2" s="8" t="s">
        <v>53</v>
      </c>
      <c r="D2" s="9" t="s">
        <v>69</v>
      </c>
      <c r="E2" s="48"/>
      <c r="F2" s="8" t="s">
        <v>53</v>
      </c>
      <c r="G2" s="8" t="s">
        <v>258</v>
      </c>
      <c r="H2" s="9" t="s">
        <v>69</v>
      </c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8" t="s">
        <v>53</v>
      </c>
      <c r="AA2" s="46"/>
      <c r="AB2" s="8" t="s">
        <v>54</v>
      </c>
      <c r="AC2" s="46"/>
      <c r="AD2" s="8" t="s">
        <v>55</v>
      </c>
      <c r="AE2" s="46"/>
      <c r="AF2" s="8" t="s">
        <v>56</v>
      </c>
      <c r="AG2" s="46"/>
      <c r="AH2" s="8" t="s">
        <v>57</v>
      </c>
    </row>
    <row r="3" spans="1:34" ht="15" customHeight="1" x14ac:dyDescent="0.25">
      <c r="A3" s="31" t="s">
        <v>221</v>
      </c>
      <c r="B3" s="10"/>
      <c r="C3" s="120" t="s">
        <v>54</v>
      </c>
      <c r="D3" s="121">
        <v>50</v>
      </c>
      <c r="E3" s="48"/>
      <c r="F3" s="120" t="s">
        <v>54</v>
      </c>
      <c r="G3" s="120" t="s">
        <v>259</v>
      </c>
      <c r="H3" s="121">
        <v>50</v>
      </c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9" t="s">
        <v>54</v>
      </c>
      <c r="AA3" s="46"/>
      <c r="AB3" s="49" t="s">
        <v>259</v>
      </c>
      <c r="AC3" s="46"/>
      <c r="AD3" s="49" t="s">
        <v>260</v>
      </c>
      <c r="AE3" s="46"/>
      <c r="AF3" s="49" t="s">
        <v>261</v>
      </c>
      <c r="AG3" s="46"/>
      <c r="AH3" s="49" t="s">
        <v>262</v>
      </c>
    </row>
    <row r="4" spans="1:34" ht="15" customHeight="1" x14ac:dyDescent="0.25">
      <c r="A4" s="31">
        <f>SUMIF(C3:C14,C17,D3:D14)</f>
        <v>150</v>
      </c>
      <c r="B4" s="10"/>
      <c r="C4" s="120" t="s">
        <v>55</v>
      </c>
      <c r="D4" s="121">
        <v>20</v>
      </c>
      <c r="E4" s="48"/>
      <c r="F4" s="120" t="s">
        <v>55</v>
      </c>
      <c r="G4" s="120" t="s">
        <v>260</v>
      </c>
      <c r="H4" s="121">
        <v>20</v>
      </c>
      <c r="I4" s="46"/>
      <c r="J4" s="6"/>
      <c r="K4" s="6"/>
      <c r="L4" s="6"/>
      <c r="M4" s="6"/>
      <c r="N4" s="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9" t="s">
        <v>55</v>
      </c>
      <c r="AA4" s="46"/>
      <c r="AB4" s="49" t="s">
        <v>263</v>
      </c>
      <c r="AC4" s="46"/>
      <c r="AD4" s="49" t="s">
        <v>264</v>
      </c>
      <c r="AE4" s="46"/>
      <c r="AF4" s="49" t="s">
        <v>265</v>
      </c>
      <c r="AG4" s="46"/>
      <c r="AH4" s="49" t="s">
        <v>266</v>
      </c>
    </row>
    <row r="5" spans="1:34" s="24" customFormat="1" ht="15" customHeight="1" x14ac:dyDescent="0.3">
      <c r="A5" s="31" t="s">
        <v>222</v>
      </c>
      <c r="B5" s="47"/>
      <c r="C5" s="120" t="s">
        <v>56</v>
      </c>
      <c r="D5" s="121">
        <v>60</v>
      </c>
      <c r="E5" s="48"/>
      <c r="F5" s="120" t="s">
        <v>56</v>
      </c>
      <c r="G5" s="120" t="s">
        <v>261</v>
      </c>
      <c r="H5" s="121">
        <v>60</v>
      </c>
      <c r="I5" s="46"/>
      <c r="J5" s="6"/>
      <c r="K5" s="23"/>
      <c r="L5" s="6"/>
      <c r="M5" s="6"/>
      <c r="N5" s="6"/>
      <c r="O5" s="46"/>
      <c r="P5" s="46"/>
      <c r="Q5" s="47"/>
      <c r="R5" s="47"/>
      <c r="S5" s="47"/>
      <c r="T5" s="47"/>
      <c r="U5" s="47"/>
      <c r="V5" s="47"/>
      <c r="W5" s="47"/>
      <c r="X5" s="47"/>
      <c r="Y5" s="47"/>
      <c r="Z5" s="49" t="s">
        <v>56</v>
      </c>
      <c r="AA5" s="47"/>
      <c r="AB5" s="47"/>
      <c r="AC5" s="47"/>
      <c r="AD5" s="47"/>
      <c r="AE5" s="47"/>
      <c r="AF5" s="47"/>
      <c r="AG5" s="47"/>
      <c r="AH5" s="47"/>
    </row>
    <row r="6" spans="1:34" s="24" customFormat="1" ht="15" customHeight="1" x14ac:dyDescent="0.25">
      <c r="A6" s="31" t="s">
        <v>223</v>
      </c>
      <c r="B6" s="47"/>
      <c r="C6" s="120" t="s">
        <v>57</v>
      </c>
      <c r="D6" s="121">
        <v>40</v>
      </c>
      <c r="E6" s="48"/>
      <c r="F6" s="120" t="s">
        <v>57</v>
      </c>
      <c r="G6" s="120" t="s">
        <v>262</v>
      </c>
      <c r="H6" s="121">
        <v>40</v>
      </c>
      <c r="I6" s="46"/>
      <c r="J6" s="46"/>
      <c r="K6" s="46"/>
      <c r="L6" s="46"/>
      <c r="M6" s="46"/>
      <c r="N6" s="6"/>
      <c r="O6" s="46"/>
      <c r="P6" s="46"/>
      <c r="Q6" s="47"/>
      <c r="R6" s="47"/>
      <c r="S6" s="47"/>
      <c r="T6" s="47"/>
      <c r="U6" s="47"/>
      <c r="V6" s="47"/>
      <c r="W6" s="47"/>
      <c r="X6" s="47"/>
      <c r="Y6" s="47"/>
      <c r="Z6" s="49" t="s">
        <v>57</v>
      </c>
      <c r="AA6" s="47"/>
      <c r="AB6" s="47"/>
      <c r="AC6" s="47"/>
      <c r="AD6" s="47"/>
      <c r="AE6" s="47"/>
      <c r="AF6" s="47"/>
      <c r="AG6" s="47"/>
      <c r="AH6" s="47"/>
    </row>
    <row r="7" spans="1:34" s="24" customFormat="1" ht="15" customHeight="1" x14ac:dyDescent="0.25">
      <c r="A7" s="31" t="s">
        <v>224</v>
      </c>
      <c r="B7" s="47"/>
      <c r="C7" s="120" t="s">
        <v>54</v>
      </c>
      <c r="D7" s="121">
        <v>50</v>
      </c>
      <c r="E7" s="48"/>
      <c r="F7" s="120" t="s">
        <v>54</v>
      </c>
      <c r="G7" s="120" t="s">
        <v>263</v>
      </c>
      <c r="H7" s="121">
        <v>50</v>
      </c>
      <c r="I7" s="47"/>
      <c r="J7" s="47"/>
      <c r="K7" s="47"/>
      <c r="L7" s="47"/>
      <c r="M7" s="47"/>
      <c r="N7" s="6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</row>
    <row r="8" spans="1:34" s="24" customFormat="1" ht="15" customHeight="1" x14ac:dyDescent="0.25">
      <c r="A8" s="33" t="s">
        <v>225</v>
      </c>
      <c r="B8" s="47"/>
      <c r="C8" s="120" t="s">
        <v>55</v>
      </c>
      <c r="D8" s="121">
        <v>20</v>
      </c>
      <c r="E8" s="48"/>
      <c r="F8" s="120" t="s">
        <v>55</v>
      </c>
      <c r="G8" s="120" t="s">
        <v>264</v>
      </c>
      <c r="H8" s="121">
        <v>20</v>
      </c>
      <c r="I8" s="47"/>
      <c r="J8" s="47"/>
      <c r="K8" s="47"/>
      <c r="L8" s="47"/>
      <c r="M8" s="47"/>
      <c r="N8" s="6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</row>
    <row r="9" spans="1:34" s="24" customFormat="1" ht="15" customHeight="1" x14ac:dyDescent="0.25">
      <c r="A9" s="31" t="s">
        <v>226</v>
      </c>
      <c r="B9" s="47"/>
      <c r="C9" s="120" t="s">
        <v>56</v>
      </c>
      <c r="D9" s="121">
        <v>60</v>
      </c>
      <c r="E9" s="48"/>
      <c r="F9" s="120" t="s">
        <v>56</v>
      </c>
      <c r="G9" s="120" t="s">
        <v>265</v>
      </c>
      <c r="H9" s="121">
        <v>60</v>
      </c>
      <c r="I9" s="47"/>
      <c r="J9" s="47"/>
      <c r="K9" s="47"/>
      <c r="L9" s="47"/>
      <c r="M9" s="47"/>
      <c r="N9" s="6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</row>
    <row r="10" spans="1:34" s="24" customFormat="1" ht="15" customHeight="1" x14ac:dyDescent="0.25">
      <c r="A10" s="31" t="s">
        <v>227</v>
      </c>
      <c r="B10" s="47"/>
      <c r="C10" s="120" t="s">
        <v>57</v>
      </c>
      <c r="D10" s="121">
        <v>40</v>
      </c>
      <c r="E10" s="48"/>
      <c r="F10" s="120" t="s">
        <v>57</v>
      </c>
      <c r="G10" s="120" t="s">
        <v>266</v>
      </c>
      <c r="H10" s="121">
        <v>40</v>
      </c>
      <c r="I10" s="47"/>
      <c r="J10" s="6"/>
      <c r="K10" s="6"/>
      <c r="L10" s="6"/>
      <c r="M10" s="6"/>
      <c r="N10" s="6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</row>
    <row r="11" spans="1:34" s="24" customFormat="1" ht="15" customHeight="1" x14ac:dyDescent="0.25">
      <c r="A11" s="31" t="s">
        <v>228</v>
      </c>
      <c r="B11" s="47"/>
      <c r="C11" s="120" t="s">
        <v>54</v>
      </c>
      <c r="D11" s="121">
        <v>50</v>
      </c>
      <c r="E11" s="48"/>
      <c r="F11" s="120" t="s">
        <v>54</v>
      </c>
      <c r="G11" s="120" t="s">
        <v>263</v>
      </c>
      <c r="H11" s="121">
        <v>50</v>
      </c>
      <c r="I11" s="47"/>
      <c r="J11" s="53"/>
      <c r="K11" s="11"/>
      <c r="L11" s="6"/>
      <c r="M11" s="6"/>
      <c r="N11" s="6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</row>
    <row r="12" spans="1:34" s="24" customFormat="1" ht="15" customHeight="1" x14ac:dyDescent="0.25">
      <c r="A12" s="31" t="s">
        <v>229</v>
      </c>
      <c r="B12" s="47"/>
      <c r="C12" s="120" t="s">
        <v>55</v>
      </c>
      <c r="D12" s="121">
        <v>20</v>
      </c>
      <c r="E12" s="48"/>
      <c r="F12" s="120" t="s">
        <v>55</v>
      </c>
      <c r="G12" s="120" t="s">
        <v>264</v>
      </c>
      <c r="H12" s="121">
        <v>20</v>
      </c>
      <c r="I12" s="47"/>
      <c r="J12" s="53"/>
      <c r="K12" s="7"/>
      <c r="L12" s="6"/>
      <c r="M12" s="6"/>
      <c r="N12" s="6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</row>
    <row r="13" spans="1:34" s="24" customFormat="1" ht="15" customHeight="1" x14ac:dyDescent="0.25">
      <c r="A13" s="33" t="s">
        <v>230</v>
      </c>
      <c r="B13" s="47"/>
      <c r="C13" s="120" t="s">
        <v>56</v>
      </c>
      <c r="D13" s="121">
        <v>60</v>
      </c>
      <c r="E13" s="48"/>
      <c r="F13" s="120" t="s">
        <v>56</v>
      </c>
      <c r="G13" s="120" t="s">
        <v>261</v>
      </c>
      <c r="H13" s="121">
        <v>60</v>
      </c>
      <c r="I13" s="47"/>
      <c r="J13" s="53"/>
      <c r="K13" s="7"/>
      <c r="L13" s="6"/>
      <c r="M13" s="6"/>
      <c r="N13" s="6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</row>
    <row r="14" spans="1:34" s="24" customFormat="1" ht="15" customHeight="1" x14ac:dyDescent="0.25">
      <c r="A14" s="32" t="s">
        <v>231</v>
      </c>
      <c r="B14" s="47"/>
      <c r="C14" s="120" t="s">
        <v>57</v>
      </c>
      <c r="D14" s="121">
        <v>40</v>
      </c>
      <c r="E14" s="48"/>
      <c r="F14" s="120" t="s">
        <v>57</v>
      </c>
      <c r="G14" s="120" t="s">
        <v>266</v>
      </c>
      <c r="H14" s="121">
        <v>40</v>
      </c>
      <c r="I14" s="47"/>
      <c r="J14" s="53"/>
      <c r="K14" s="54"/>
      <c r="L14" s="6"/>
      <c r="M14" s="6"/>
      <c r="N14" s="6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</row>
    <row r="15" spans="1:34" s="24" customFormat="1" ht="15" customHeight="1" x14ac:dyDescent="0.25">
      <c r="A15" s="33" t="s">
        <v>232</v>
      </c>
      <c r="B15" s="47"/>
      <c r="C15" s="25"/>
      <c r="D15" s="25"/>
      <c r="E15" s="25"/>
      <c r="F15" s="25"/>
      <c r="G15" s="25"/>
      <c r="H15" s="25"/>
      <c r="I15" s="47"/>
      <c r="J15" s="53"/>
      <c r="K15" s="55"/>
      <c r="L15" s="6"/>
      <c r="M15" s="6"/>
      <c r="N15" s="6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</row>
    <row r="16" spans="1:34" s="24" customFormat="1" ht="15" customHeight="1" thickBot="1" x14ac:dyDescent="0.3">
      <c r="A16" s="31" t="s">
        <v>10</v>
      </c>
      <c r="B16" s="47"/>
      <c r="C16" s="47" t="s">
        <v>53</v>
      </c>
      <c r="D16" s="27" t="s">
        <v>256</v>
      </c>
      <c r="E16" s="48"/>
      <c r="F16" s="47" t="s">
        <v>53</v>
      </c>
      <c r="G16" s="47" t="s">
        <v>258</v>
      </c>
      <c r="H16" s="27" t="s">
        <v>268</v>
      </c>
      <c r="I16" s="47"/>
      <c r="J16" s="53"/>
      <c r="K16" s="11"/>
      <c r="L16" s="6"/>
      <c r="M16" s="6"/>
      <c r="N16" s="6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</row>
    <row r="17" spans="1:34" s="24" customFormat="1" ht="15" customHeight="1" thickTop="1" thickBot="1" x14ac:dyDescent="0.3">
      <c r="A17" s="31" t="s">
        <v>11</v>
      </c>
      <c r="B17" s="47"/>
      <c r="C17" s="56" t="s">
        <v>54</v>
      </c>
      <c r="D17" s="57"/>
      <c r="E17" s="48"/>
      <c r="F17" s="56" t="s">
        <v>55</v>
      </c>
      <c r="G17" s="56" t="s">
        <v>260</v>
      </c>
      <c r="H17" s="51"/>
      <c r="I17" s="47"/>
      <c r="J17" s="58"/>
      <c r="K17" s="7"/>
      <c r="L17" s="6"/>
      <c r="M17" s="6"/>
      <c r="N17" s="6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</row>
    <row r="18" spans="1:34" s="24" customFormat="1" ht="15" customHeight="1" thickTop="1" x14ac:dyDescent="0.25">
      <c r="A18" s="31" t="s">
        <v>219</v>
      </c>
      <c r="B18" s="47"/>
      <c r="C18" s="47"/>
      <c r="D18" s="47"/>
      <c r="E18" s="48"/>
      <c r="F18" s="47"/>
      <c r="G18" s="47"/>
      <c r="H18" s="47"/>
      <c r="I18" s="47"/>
      <c r="J18" s="53"/>
      <c r="K18" s="54"/>
      <c r="L18" s="6"/>
      <c r="M18" s="6"/>
      <c r="N18" s="6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</row>
    <row r="19" spans="1:34" s="24" customFormat="1" ht="15" customHeight="1" x14ac:dyDescent="0.25">
      <c r="A19" s="31" t="s">
        <v>233</v>
      </c>
      <c r="B19" s="47"/>
      <c r="C19" s="1"/>
      <c r="D19" s="1"/>
      <c r="E19" s="1"/>
      <c r="F19" s="1"/>
      <c r="G19" s="1"/>
      <c r="H19" s="1"/>
      <c r="I19" s="47"/>
      <c r="J19" s="53"/>
      <c r="K19" s="55"/>
      <c r="L19" s="6"/>
      <c r="M19" s="6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</row>
    <row r="20" spans="1:34" s="24" customFormat="1" ht="15" customHeight="1" x14ac:dyDescent="0.25">
      <c r="A20" s="31" t="s">
        <v>295</v>
      </c>
      <c r="B20" s="47"/>
      <c r="C20" s="1"/>
      <c r="D20" s="1"/>
      <c r="E20" s="1"/>
      <c r="F20" s="1"/>
      <c r="G20" s="1"/>
      <c r="H20" s="1"/>
      <c r="I20" s="47"/>
      <c r="J20" s="58"/>
      <c r="K20" s="11"/>
      <c r="L20" s="47"/>
      <c r="M20" s="6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</row>
    <row r="21" spans="1:34" s="24" customFormat="1" ht="15" customHeight="1" x14ac:dyDescent="0.25">
      <c r="A21" s="31" t="s">
        <v>234</v>
      </c>
      <c r="B21" s="47"/>
      <c r="C21" s="1"/>
      <c r="D21" s="1"/>
      <c r="E21" s="1"/>
      <c r="F21" s="1"/>
      <c r="G21" s="1"/>
      <c r="H21" s="1"/>
      <c r="I21" s="47"/>
      <c r="J21" s="58"/>
      <c r="K21" s="7"/>
      <c r="L21" s="47"/>
      <c r="M21" s="6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</row>
    <row r="22" spans="1:34" s="24" customFormat="1" ht="15" customHeight="1" x14ac:dyDescent="0.25">
      <c r="A22" s="31" t="s">
        <v>222</v>
      </c>
      <c r="B22" s="47"/>
      <c r="C22" s="1"/>
      <c r="D22" s="1"/>
      <c r="E22" s="1"/>
      <c r="F22" s="1"/>
      <c r="G22" s="1"/>
      <c r="H22" s="1"/>
      <c r="I22" s="47"/>
      <c r="J22" s="46"/>
      <c r="K22" s="7"/>
      <c r="L22" s="59"/>
      <c r="M22" s="6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</row>
    <row r="23" spans="1:34" s="24" customFormat="1" ht="15" customHeight="1" x14ac:dyDescent="0.25">
      <c r="A23" s="31" t="s">
        <v>223</v>
      </c>
      <c r="B23" s="47"/>
      <c r="C23" s="1"/>
      <c r="D23" s="1"/>
      <c r="E23" s="1"/>
      <c r="F23" s="1"/>
      <c r="G23" s="1"/>
      <c r="H23" s="1"/>
      <c r="I23" s="47"/>
      <c r="J23" s="46"/>
      <c r="K23" s="60"/>
      <c r="L23" s="59"/>
      <c r="M23" s="6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</row>
    <row r="24" spans="1:34" s="24" customFormat="1" ht="15" customHeight="1" x14ac:dyDescent="0.25">
      <c r="A24" s="33" t="s">
        <v>309</v>
      </c>
      <c r="B24" s="47"/>
      <c r="C24" s="1"/>
      <c r="D24" s="1"/>
      <c r="E24" s="1"/>
      <c r="F24" s="1"/>
      <c r="G24" s="1"/>
      <c r="H24" s="1"/>
      <c r="I24" s="47"/>
      <c r="J24" s="46"/>
      <c r="K24" s="47"/>
      <c r="L24" s="59"/>
      <c r="M24" s="6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6"/>
    </row>
    <row r="25" spans="1:34" s="24" customFormat="1" ht="15" customHeight="1" x14ac:dyDescent="0.25">
      <c r="A25" s="31" t="s">
        <v>235</v>
      </c>
      <c r="B25" s="47"/>
      <c r="C25" s="1"/>
      <c r="D25" s="1"/>
      <c r="E25" s="1"/>
      <c r="F25" s="1"/>
      <c r="G25" s="1"/>
      <c r="H25" s="1"/>
      <c r="I25" s="47"/>
      <c r="J25" s="46"/>
      <c r="K25" s="47"/>
      <c r="L25" s="59"/>
      <c r="M25" s="6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6"/>
    </row>
    <row r="26" spans="1:34" s="24" customFormat="1" ht="15" customHeight="1" x14ac:dyDescent="0.25">
      <c r="A26" s="31" t="s">
        <v>236</v>
      </c>
      <c r="B26" s="47"/>
      <c r="C26" s="1"/>
      <c r="D26" s="1"/>
      <c r="E26" s="1"/>
      <c r="F26" s="1"/>
      <c r="G26" s="1"/>
      <c r="H26" s="1"/>
      <c r="I26" s="47"/>
      <c r="J26" s="46"/>
      <c r="K26" s="47"/>
      <c r="L26" s="59"/>
      <c r="M26" s="6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6"/>
    </row>
    <row r="27" spans="1:34" s="24" customFormat="1" ht="15" customHeight="1" x14ac:dyDescent="0.25">
      <c r="A27" s="31" t="s">
        <v>229</v>
      </c>
      <c r="B27" s="47"/>
      <c r="C27" s="1"/>
      <c r="D27" s="1"/>
      <c r="E27" s="1"/>
      <c r="F27" s="1"/>
      <c r="G27" s="1"/>
      <c r="H27" s="1"/>
      <c r="I27" s="47"/>
      <c r="J27" s="46"/>
      <c r="K27" s="47"/>
      <c r="L27" s="59"/>
      <c r="M27" s="6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6"/>
    </row>
    <row r="28" spans="1:34" s="24" customFormat="1" ht="15" customHeight="1" x14ac:dyDescent="0.25">
      <c r="A28" s="31" t="s">
        <v>237</v>
      </c>
      <c r="B28" s="47"/>
      <c r="C28" s="1"/>
      <c r="D28" s="1"/>
      <c r="E28" s="1"/>
      <c r="F28" s="1"/>
      <c r="G28" s="1"/>
      <c r="H28" s="1"/>
      <c r="I28" s="47"/>
      <c r="J28" s="46"/>
      <c r="K28" s="47"/>
      <c r="L28" s="59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6"/>
    </row>
    <row r="29" spans="1:34" s="24" customFormat="1" ht="15" customHeight="1" x14ac:dyDescent="0.25">
      <c r="A29" s="31" t="s">
        <v>231</v>
      </c>
      <c r="B29" s="47"/>
      <c r="C29" s="1"/>
      <c r="D29" s="1"/>
      <c r="E29" s="1"/>
      <c r="F29" s="1"/>
      <c r="G29" s="1"/>
      <c r="H29" s="1"/>
      <c r="I29" s="47"/>
      <c r="J29" s="46"/>
      <c r="K29" s="47"/>
      <c r="L29" s="59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6"/>
    </row>
    <row r="30" spans="1:34" s="24" customFormat="1" ht="15" customHeight="1" x14ac:dyDescent="0.25">
      <c r="A30" s="31" t="s">
        <v>10</v>
      </c>
      <c r="B30" s="47"/>
      <c r="C30" s="1"/>
      <c r="D30" s="1"/>
      <c r="E30" s="1"/>
      <c r="F30" s="1"/>
      <c r="G30" s="1"/>
      <c r="H30" s="1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6"/>
      <c r="AC30" s="47"/>
      <c r="AD30" s="46"/>
      <c r="AE30" s="47"/>
      <c r="AF30" s="47"/>
      <c r="AG30" s="47"/>
      <c r="AH30" s="46"/>
    </row>
    <row r="31" spans="1:34" s="24" customFormat="1" ht="15" customHeight="1" x14ac:dyDescent="0.25">
      <c r="A31" s="31" t="s">
        <v>21</v>
      </c>
      <c r="B31" s="47"/>
      <c r="C31" s="1"/>
      <c r="D31" s="1"/>
      <c r="E31" s="1"/>
      <c r="F31" s="1"/>
      <c r="G31" s="1"/>
      <c r="H31" s="1"/>
      <c r="I31" s="47"/>
      <c r="J31" s="47"/>
      <c r="K31" s="47"/>
      <c r="L31" s="47"/>
      <c r="M31" s="47"/>
      <c r="N31" s="6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6"/>
      <c r="AC31" s="47"/>
      <c r="AD31" s="46"/>
      <c r="AE31" s="47"/>
      <c r="AF31" s="47"/>
      <c r="AG31" s="47"/>
      <c r="AH31" s="46"/>
    </row>
    <row r="32" spans="1:34" s="24" customFormat="1" ht="15" customHeight="1" x14ac:dyDescent="0.25">
      <c r="A32" s="28" t="s">
        <v>238</v>
      </c>
      <c r="B32" s="47"/>
      <c r="C32" s="1"/>
      <c r="D32" s="1"/>
      <c r="E32" s="1"/>
      <c r="F32" s="1"/>
      <c r="G32" s="1"/>
      <c r="H32" s="1"/>
      <c r="I32" s="47"/>
      <c r="J32" s="47"/>
      <c r="K32" s="47"/>
      <c r="L32" s="47"/>
      <c r="M32" s="47"/>
      <c r="N32" s="6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6"/>
      <c r="AC32" s="47"/>
      <c r="AD32" s="46"/>
      <c r="AE32" s="47"/>
      <c r="AF32" s="47"/>
      <c r="AG32" s="47"/>
      <c r="AH32" s="46"/>
    </row>
    <row r="33" spans="1:34" s="24" customFormat="1" ht="15" customHeight="1" x14ac:dyDescent="0.25">
      <c r="A33" s="28" t="s">
        <v>239</v>
      </c>
      <c r="B33" s="47"/>
      <c r="C33" s="1"/>
      <c r="D33" s="1"/>
      <c r="E33" s="1"/>
      <c r="F33" s="1"/>
      <c r="G33" s="1"/>
      <c r="H33" s="1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6"/>
      <c r="AC33" s="47"/>
      <c r="AD33" s="46"/>
      <c r="AE33" s="47"/>
      <c r="AF33" s="47"/>
      <c r="AG33" s="47"/>
      <c r="AH33" s="46"/>
    </row>
    <row r="34" spans="1:34" s="24" customFormat="1" ht="15" customHeight="1" x14ac:dyDescent="0.25">
      <c r="A34" s="28" t="s">
        <v>10</v>
      </c>
      <c r="B34" s="47"/>
      <c r="C34" s="1"/>
      <c r="D34" s="1"/>
      <c r="E34" s="1"/>
      <c r="F34" s="1"/>
      <c r="G34" s="1"/>
      <c r="H34" s="1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6"/>
      <c r="AC34" s="47"/>
      <c r="AD34" s="46"/>
      <c r="AE34" s="47"/>
      <c r="AF34" s="47"/>
      <c r="AG34" s="47"/>
      <c r="AH34" s="46"/>
    </row>
    <row r="35" spans="1:34" s="24" customFormat="1" ht="15" customHeight="1" x14ac:dyDescent="0.25">
      <c r="A35" s="28" t="s">
        <v>21</v>
      </c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6"/>
      <c r="AC35" s="47"/>
      <c r="AD35" s="46"/>
      <c r="AE35" s="47"/>
      <c r="AF35" s="47"/>
      <c r="AG35" s="47"/>
      <c r="AH35" s="46"/>
    </row>
    <row r="36" spans="1:34" x14ac:dyDescent="0.25">
      <c r="A36" s="10" t="s">
        <v>240</v>
      </c>
      <c r="B36" s="10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</row>
    <row r="37" spans="1:34" x14ac:dyDescent="0.25">
      <c r="A37" s="10" t="s">
        <v>241</v>
      </c>
      <c r="B37" s="10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</row>
    <row r="38" spans="1:34" x14ac:dyDescent="0.25">
      <c r="A38" s="10" t="s">
        <v>242</v>
      </c>
      <c r="B38" s="10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</row>
    <row r="39" spans="1:34" x14ac:dyDescent="0.25">
      <c r="A39" s="10" t="s">
        <v>243</v>
      </c>
      <c r="B39" s="10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</row>
    <row r="40" spans="1:34" x14ac:dyDescent="0.25">
      <c r="A40" s="10" t="s">
        <v>244</v>
      </c>
      <c r="B40" s="10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</row>
    <row r="41" spans="1:34" x14ac:dyDescent="0.25">
      <c r="A41" s="10" t="s">
        <v>245</v>
      </c>
      <c r="B41" s="10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</row>
    <row r="42" spans="1:34" x14ac:dyDescent="0.25">
      <c r="A42" s="10" t="s">
        <v>246</v>
      </c>
      <c r="B42" s="10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</row>
    <row r="43" spans="1:34" x14ac:dyDescent="0.25">
      <c r="A43" s="10" t="s">
        <v>22</v>
      </c>
      <c r="B43" s="10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</row>
    <row r="44" spans="1:34" x14ac:dyDescent="0.25">
      <c r="A44" s="10" t="s">
        <v>98</v>
      </c>
      <c r="B44" s="10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</row>
    <row r="45" spans="1:34" x14ac:dyDescent="0.25">
      <c r="A45" s="10" t="s">
        <v>247</v>
      </c>
      <c r="B45" s="10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</row>
    <row r="46" spans="1:34" x14ac:dyDescent="0.25">
      <c r="A46" s="10" t="s">
        <v>248</v>
      </c>
      <c r="B46" s="10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</row>
    <row r="47" spans="1:34" x14ac:dyDescent="0.25">
      <c r="A47" s="10" t="s">
        <v>249</v>
      </c>
      <c r="B47" s="10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</row>
    <row r="48" spans="1:34" x14ac:dyDescent="0.25">
      <c r="A48" s="10" t="s">
        <v>250</v>
      </c>
      <c r="B48" s="10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</row>
    <row r="49" spans="1:34" x14ac:dyDescent="0.25">
      <c r="A49" s="10" t="s">
        <v>251</v>
      </c>
      <c r="B49" s="10"/>
      <c r="C49" s="8" t="s">
        <v>53</v>
      </c>
      <c r="D49" s="9" t="s">
        <v>69</v>
      </c>
      <c r="E49" s="48"/>
      <c r="F49" s="8" t="s">
        <v>53</v>
      </c>
      <c r="G49" s="8" t="s">
        <v>258</v>
      </c>
      <c r="H49" s="9" t="s">
        <v>69</v>
      </c>
      <c r="I49" s="47"/>
      <c r="J49" s="47"/>
      <c r="K49" s="47"/>
      <c r="L49" s="47"/>
      <c r="M49" s="47"/>
      <c r="N49" s="47"/>
      <c r="O49" s="47"/>
      <c r="P49" s="47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</row>
    <row r="50" spans="1:34" x14ac:dyDescent="0.25">
      <c r="A50" s="10" t="s">
        <v>252</v>
      </c>
      <c r="B50" s="10"/>
      <c r="C50" s="49" t="s">
        <v>54</v>
      </c>
      <c r="D50" s="50">
        <v>50</v>
      </c>
      <c r="E50" s="48"/>
      <c r="F50" s="49" t="s">
        <v>54</v>
      </c>
      <c r="G50" s="49" t="s">
        <v>259</v>
      </c>
      <c r="H50" s="50">
        <v>50</v>
      </c>
      <c r="I50" s="47"/>
      <c r="J50" s="47"/>
      <c r="K50" s="47"/>
      <c r="L50" s="47"/>
      <c r="M50" s="47"/>
      <c r="N50" s="47"/>
      <c r="O50" s="47"/>
      <c r="P50" s="47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</row>
    <row r="51" spans="1:34" x14ac:dyDescent="0.25">
      <c r="A51" s="10" t="s">
        <v>253</v>
      </c>
      <c r="B51" s="10"/>
      <c r="C51" s="49" t="s">
        <v>55</v>
      </c>
      <c r="D51" s="50">
        <v>20</v>
      </c>
      <c r="E51" s="48"/>
      <c r="F51" s="49" t="s">
        <v>55</v>
      </c>
      <c r="G51" s="49" t="s">
        <v>260</v>
      </c>
      <c r="H51" s="50">
        <v>20</v>
      </c>
      <c r="I51" s="47"/>
      <c r="J51" s="47"/>
      <c r="K51" s="47"/>
      <c r="L51" s="47"/>
      <c r="M51" s="47"/>
      <c r="N51" s="47"/>
      <c r="O51" s="47"/>
      <c r="P51" s="47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</row>
    <row r="52" spans="1:34" x14ac:dyDescent="0.25">
      <c r="A52" s="10" t="s">
        <v>254</v>
      </c>
      <c r="B52" s="10"/>
      <c r="C52" s="49" t="s">
        <v>56</v>
      </c>
      <c r="D52" s="50">
        <v>60</v>
      </c>
      <c r="E52" s="48"/>
      <c r="F52" s="49" t="s">
        <v>56</v>
      </c>
      <c r="G52" s="49" t="s">
        <v>261</v>
      </c>
      <c r="H52" s="50">
        <v>60</v>
      </c>
      <c r="I52" s="47"/>
      <c r="J52" s="47"/>
      <c r="K52" s="47"/>
      <c r="L52" s="47"/>
      <c r="M52" s="47"/>
      <c r="N52" s="47"/>
      <c r="O52" s="47"/>
      <c r="P52" s="47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</row>
    <row r="53" spans="1:34" x14ac:dyDescent="0.25">
      <c r="A53" s="10" t="s">
        <v>27</v>
      </c>
      <c r="B53" s="10"/>
      <c r="C53" s="49" t="s">
        <v>57</v>
      </c>
      <c r="D53" s="50">
        <v>40</v>
      </c>
      <c r="E53" s="48"/>
      <c r="F53" s="49" t="s">
        <v>57</v>
      </c>
      <c r="G53" s="49" t="s">
        <v>262</v>
      </c>
      <c r="H53" s="50">
        <v>40</v>
      </c>
      <c r="I53" s="47"/>
      <c r="J53" s="47"/>
      <c r="K53" s="47"/>
      <c r="L53" s="47"/>
      <c r="M53" s="47"/>
      <c r="N53" s="47"/>
      <c r="O53" s="47"/>
      <c r="P53" s="47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</row>
    <row r="54" spans="1:34" x14ac:dyDescent="0.25">
      <c r="A54" s="10" t="s">
        <v>51</v>
      </c>
      <c r="B54" s="10"/>
      <c r="C54" s="49" t="s">
        <v>54</v>
      </c>
      <c r="D54" s="50">
        <v>50</v>
      </c>
      <c r="E54" s="48"/>
      <c r="F54" s="49" t="s">
        <v>54</v>
      </c>
      <c r="G54" s="49" t="s">
        <v>263</v>
      </c>
      <c r="H54" s="50">
        <v>50</v>
      </c>
      <c r="I54" s="47"/>
      <c r="J54" s="47"/>
      <c r="K54" s="47"/>
      <c r="L54" s="47"/>
      <c r="M54" s="47"/>
      <c r="N54" s="47"/>
      <c r="O54" s="47"/>
      <c r="P54" s="47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</row>
    <row r="55" spans="1:34" x14ac:dyDescent="0.25">
      <c r="A55" s="10" t="s">
        <v>21</v>
      </c>
      <c r="B55" s="10"/>
      <c r="C55" s="49" t="s">
        <v>55</v>
      </c>
      <c r="D55" s="50">
        <v>20</v>
      </c>
      <c r="E55" s="48"/>
      <c r="F55" s="49" t="s">
        <v>55</v>
      </c>
      <c r="G55" s="49" t="s">
        <v>264</v>
      </c>
      <c r="H55" s="50">
        <v>20</v>
      </c>
      <c r="I55" s="47"/>
      <c r="J55" s="47"/>
      <c r="K55" s="47"/>
      <c r="L55" s="47"/>
      <c r="M55" s="47"/>
      <c r="N55" s="47"/>
      <c r="O55" s="47"/>
      <c r="P55" s="47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</row>
    <row r="56" spans="1:34" x14ac:dyDescent="0.25">
      <c r="B56" s="10"/>
      <c r="C56" s="49" t="s">
        <v>56</v>
      </c>
      <c r="D56" s="50">
        <v>60</v>
      </c>
      <c r="E56" s="48"/>
      <c r="F56" s="49" t="s">
        <v>56</v>
      </c>
      <c r="G56" s="49" t="s">
        <v>265</v>
      </c>
      <c r="H56" s="50">
        <v>60</v>
      </c>
      <c r="I56" s="47"/>
      <c r="J56" s="47"/>
      <c r="K56" s="47"/>
      <c r="L56" s="47"/>
      <c r="M56" s="47"/>
      <c r="N56" s="47"/>
      <c r="O56" s="47"/>
      <c r="P56" s="47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</row>
    <row r="57" spans="1:34" x14ac:dyDescent="0.25">
      <c r="B57" s="10"/>
      <c r="C57" s="49" t="s">
        <v>57</v>
      </c>
      <c r="D57" s="50">
        <v>40</v>
      </c>
      <c r="E57" s="48"/>
      <c r="F57" s="49" t="s">
        <v>57</v>
      </c>
      <c r="G57" s="49" t="s">
        <v>266</v>
      </c>
      <c r="H57" s="50">
        <v>40</v>
      </c>
      <c r="I57" s="47"/>
      <c r="J57" s="47"/>
      <c r="K57" s="47"/>
      <c r="L57" s="47"/>
      <c r="M57" s="47"/>
      <c r="N57" s="47"/>
      <c r="O57" s="47"/>
      <c r="P57" s="47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</row>
    <row r="58" spans="1:34" x14ac:dyDescent="0.25">
      <c r="B58" s="10"/>
      <c r="C58" s="49" t="s">
        <v>54</v>
      </c>
      <c r="D58" s="50">
        <v>50</v>
      </c>
      <c r="E58" s="48"/>
      <c r="F58" s="49" t="s">
        <v>54</v>
      </c>
      <c r="G58" s="49" t="s">
        <v>263</v>
      </c>
      <c r="H58" s="50">
        <v>50</v>
      </c>
      <c r="I58" s="47"/>
      <c r="J58" s="47"/>
      <c r="K58" s="47"/>
      <c r="L58" s="47"/>
      <c r="M58" s="47"/>
      <c r="N58" s="47"/>
      <c r="O58" s="47"/>
      <c r="P58" s="47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</row>
    <row r="59" spans="1:34" x14ac:dyDescent="0.25">
      <c r="B59" s="10"/>
      <c r="C59" s="49" t="s">
        <v>55</v>
      </c>
      <c r="D59" s="50">
        <v>20</v>
      </c>
      <c r="E59" s="48"/>
      <c r="F59" s="49" t="s">
        <v>55</v>
      </c>
      <c r="G59" s="49" t="s">
        <v>264</v>
      </c>
      <c r="H59" s="50">
        <v>20</v>
      </c>
      <c r="I59" s="47"/>
      <c r="J59" s="47"/>
      <c r="K59" s="47"/>
      <c r="L59" s="47"/>
      <c r="M59" s="47"/>
      <c r="N59" s="47"/>
      <c r="O59" s="47"/>
      <c r="P59" s="47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</row>
    <row r="60" spans="1:34" x14ac:dyDescent="0.25">
      <c r="B60" s="10"/>
      <c r="C60" s="49" t="s">
        <v>56</v>
      </c>
      <c r="D60" s="50">
        <v>60</v>
      </c>
      <c r="E60" s="48"/>
      <c r="F60" s="49" t="s">
        <v>56</v>
      </c>
      <c r="G60" s="49" t="s">
        <v>261</v>
      </c>
      <c r="H60" s="50">
        <v>60</v>
      </c>
      <c r="I60" s="47"/>
      <c r="J60" s="47"/>
      <c r="K60" s="47"/>
      <c r="L60" s="47"/>
      <c r="M60" s="47"/>
      <c r="N60" s="47"/>
      <c r="O60" s="47"/>
      <c r="P60" s="47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</row>
    <row r="61" spans="1:34" x14ac:dyDescent="0.25">
      <c r="B61" s="10"/>
      <c r="C61" s="49" t="s">
        <v>57</v>
      </c>
      <c r="D61" s="50">
        <v>40</v>
      </c>
      <c r="E61" s="48"/>
      <c r="F61" s="49" t="s">
        <v>57</v>
      </c>
      <c r="G61" s="49" t="s">
        <v>266</v>
      </c>
      <c r="H61" s="50">
        <v>40</v>
      </c>
      <c r="I61" s="47"/>
      <c r="J61" s="47"/>
      <c r="K61" s="47"/>
      <c r="L61" s="47"/>
      <c r="M61" s="47"/>
      <c r="N61" s="47"/>
      <c r="O61" s="47"/>
      <c r="P61" s="47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</row>
    <row r="62" spans="1:34" x14ac:dyDescent="0.25">
      <c r="B62" s="10"/>
      <c r="C62" s="25"/>
      <c r="D62" s="25"/>
      <c r="E62" s="25"/>
      <c r="F62" s="25"/>
      <c r="G62" s="25"/>
      <c r="H62" s="25"/>
      <c r="I62" s="47"/>
      <c r="J62" s="47"/>
      <c r="K62" s="47"/>
      <c r="L62" s="47"/>
      <c r="M62" s="47"/>
      <c r="N62" s="47"/>
      <c r="O62" s="47"/>
      <c r="P62" s="47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</row>
    <row r="63" spans="1:34" ht="15.75" thickBot="1" x14ac:dyDescent="0.3">
      <c r="B63" s="10"/>
      <c r="C63" s="47" t="s">
        <v>53</v>
      </c>
      <c r="D63" s="27" t="s">
        <v>257</v>
      </c>
      <c r="E63" s="48"/>
      <c r="F63" s="47" t="s">
        <v>53</v>
      </c>
      <c r="G63" s="47" t="s">
        <v>258</v>
      </c>
      <c r="H63" s="27" t="s">
        <v>269</v>
      </c>
      <c r="I63" s="47"/>
      <c r="J63" s="47"/>
      <c r="K63" s="47"/>
      <c r="L63" s="47"/>
      <c r="M63" s="47"/>
      <c r="N63" s="47"/>
      <c r="O63" s="47"/>
      <c r="P63" s="47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</row>
    <row r="64" spans="1:34" ht="16.5" thickTop="1" thickBot="1" x14ac:dyDescent="0.3">
      <c r="B64" s="10"/>
      <c r="C64" s="56" t="s">
        <v>54</v>
      </c>
      <c r="D64" s="57">
        <f>COUNTIF(C50:C61,C64)</f>
        <v>3</v>
      </c>
      <c r="E64" s="48"/>
      <c r="F64" s="56" t="s">
        <v>55</v>
      </c>
      <c r="G64" s="56" t="s">
        <v>260</v>
      </c>
      <c r="H64" s="51">
        <f>COUNTIFS(F50:F61,F64,G50:G61,G64)</f>
        <v>1</v>
      </c>
      <c r="I64" s="47"/>
      <c r="J64" s="47"/>
      <c r="K64" s="47"/>
      <c r="L64" s="47"/>
      <c r="M64" s="47"/>
      <c r="N64" s="47"/>
      <c r="O64" s="47"/>
      <c r="P64" s="47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</row>
    <row r="65" spans="2:34" ht="15.75" thickTop="1" x14ac:dyDescent="0.25">
      <c r="B65" s="10"/>
      <c r="C65" s="47"/>
      <c r="D65" s="47"/>
      <c r="E65" s="48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</row>
    <row r="66" spans="2:34" x14ac:dyDescent="0.25">
      <c r="B66" s="10"/>
      <c r="C66" s="1"/>
      <c r="D66" s="1"/>
      <c r="E66" s="1"/>
      <c r="F66" s="1"/>
      <c r="G66" s="1"/>
      <c r="H66" s="1"/>
      <c r="I66" s="47"/>
      <c r="J66" s="47"/>
      <c r="K66" s="47"/>
      <c r="L66" s="47"/>
      <c r="M66" s="47"/>
      <c r="N66" s="47"/>
      <c r="O66" s="47"/>
      <c r="P66" s="47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</row>
    <row r="67" spans="2:34" x14ac:dyDescent="0.25">
      <c r="B67" s="10"/>
      <c r="C67" s="1"/>
      <c r="D67" s="1"/>
      <c r="E67" s="1"/>
      <c r="F67" s="1"/>
      <c r="G67" s="1"/>
      <c r="H67" s="1"/>
      <c r="I67" s="47"/>
      <c r="J67" s="47"/>
      <c r="K67" s="47"/>
      <c r="L67" s="47"/>
      <c r="M67" s="47"/>
      <c r="N67" s="47"/>
      <c r="O67" s="47"/>
      <c r="P67" s="47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</row>
    <row r="68" spans="2:34" x14ac:dyDescent="0.25">
      <c r="B68" s="10"/>
      <c r="C68" s="1"/>
      <c r="D68" s="1"/>
      <c r="E68" s="1"/>
      <c r="F68" s="1"/>
      <c r="G68" s="1"/>
      <c r="H68" s="1"/>
      <c r="I68" s="47"/>
      <c r="J68" s="47"/>
      <c r="K68" s="47"/>
      <c r="L68" s="47"/>
      <c r="M68" s="47"/>
      <c r="N68" s="47"/>
      <c r="O68" s="47"/>
      <c r="P68" s="47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</row>
    <row r="69" spans="2:34" x14ac:dyDescent="0.25">
      <c r="B69" s="10"/>
      <c r="C69" s="1"/>
      <c r="D69" s="1"/>
      <c r="E69" s="1"/>
      <c r="F69" s="1"/>
      <c r="G69" s="1"/>
      <c r="H69" s="1"/>
      <c r="I69" s="47"/>
      <c r="J69" s="47"/>
      <c r="K69" s="47"/>
      <c r="L69" s="47"/>
      <c r="M69" s="47"/>
      <c r="N69" s="47"/>
      <c r="O69" s="47"/>
      <c r="P69" s="47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</row>
    <row r="70" spans="2:34" x14ac:dyDescent="0.25">
      <c r="B70" s="10"/>
      <c r="C70" s="1"/>
      <c r="D70" s="1"/>
      <c r="E70" s="1"/>
      <c r="F70" s="1"/>
      <c r="G70" s="1"/>
      <c r="H70" s="1"/>
      <c r="I70" s="47"/>
      <c r="J70" s="47"/>
      <c r="K70" s="47"/>
      <c r="L70" s="47"/>
      <c r="M70" s="47"/>
      <c r="N70" s="47"/>
      <c r="O70" s="47"/>
      <c r="P70" s="47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</row>
    <row r="71" spans="2:34" x14ac:dyDescent="0.25">
      <c r="B71" s="10"/>
      <c r="C71" s="1"/>
      <c r="D71" s="1"/>
      <c r="E71" s="1"/>
      <c r="F71" s="1"/>
      <c r="G71" s="1"/>
      <c r="H71" s="1"/>
      <c r="I71" s="47"/>
      <c r="J71" s="47"/>
      <c r="K71" s="47"/>
      <c r="L71" s="47"/>
      <c r="M71" s="47"/>
      <c r="N71" s="47"/>
      <c r="O71" s="47"/>
      <c r="P71" s="47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</row>
    <row r="72" spans="2:34" x14ac:dyDescent="0.25">
      <c r="B72" s="10"/>
      <c r="C72" s="1"/>
      <c r="D72" s="1"/>
      <c r="E72" s="1"/>
      <c r="F72" s="1"/>
      <c r="G72" s="1"/>
      <c r="H72" s="1"/>
      <c r="I72" s="47"/>
      <c r="J72" s="47"/>
      <c r="K72" s="47"/>
      <c r="L72" s="47"/>
      <c r="M72" s="47"/>
      <c r="N72" s="47"/>
      <c r="O72" s="47"/>
      <c r="P72" s="47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</row>
    <row r="73" spans="2:34" x14ac:dyDescent="0.25">
      <c r="B73" s="10"/>
      <c r="C73" s="1"/>
      <c r="D73" s="1"/>
      <c r="E73" s="1"/>
      <c r="F73" s="1"/>
      <c r="G73" s="1"/>
      <c r="H73" s="1"/>
      <c r="I73" s="47"/>
      <c r="J73" s="47"/>
      <c r="K73" s="47"/>
      <c r="L73" s="47"/>
      <c r="M73" s="47"/>
      <c r="N73" s="47"/>
      <c r="O73" s="47"/>
      <c r="P73" s="47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</row>
    <row r="74" spans="2:34" x14ac:dyDescent="0.25">
      <c r="B74" s="10"/>
      <c r="C74" s="1"/>
      <c r="D74" s="1"/>
      <c r="E74" s="1"/>
      <c r="F74" s="1"/>
      <c r="G74" s="1"/>
      <c r="H74" s="1"/>
      <c r="I74" s="47"/>
      <c r="J74" s="47"/>
      <c r="K74" s="47"/>
      <c r="L74" s="47"/>
      <c r="M74" s="47"/>
      <c r="N74" s="47"/>
      <c r="O74" s="47"/>
      <c r="P74" s="47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</row>
    <row r="75" spans="2:34" x14ac:dyDescent="0.25">
      <c r="B75" s="10"/>
      <c r="C75" s="1"/>
      <c r="D75" s="1"/>
      <c r="E75" s="1"/>
      <c r="F75" s="1"/>
      <c r="G75" s="1"/>
      <c r="H75" s="1"/>
      <c r="I75" s="47"/>
      <c r="J75" s="47"/>
      <c r="K75" s="47"/>
      <c r="L75" s="47"/>
      <c r="M75" s="47"/>
      <c r="N75" s="47"/>
      <c r="O75" s="47"/>
      <c r="P75" s="47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</row>
    <row r="76" spans="2:34" x14ac:dyDescent="0.25">
      <c r="B76" s="10"/>
      <c r="C76" s="1"/>
      <c r="D76" s="1"/>
      <c r="E76" s="1"/>
      <c r="F76" s="1"/>
      <c r="G76" s="1"/>
      <c r="H76" s="1"/>
      <c r="I76" s="47"/>
      <c r="J76" s="47"/>
      <c r="K76" s="47"/>
      <c r="L76" s="47"/>
      <c r="M76" s="47"/>
      <c r="N76" s="47"/>
      <c r="O76" s="47"/>
      <c r="P76" s="47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</row>
    <row r="77" spans="2:34" x14ac:dyDescent="0.25">
      <c r="B77" s="10"/>
      <c r="C77" s="1"/>
      <c r="D77" s="1"/>
      <c r="E77" s="1"/>
      <c r="F77" s="1"/>
      <c r="G77" s="1"/>
      <c r="H77" s="1"/>
      <c r="I77" s="47"/>
      <c r="J77" s="47"/>
      <c r="K77" s="47"/>
      <c r="L77" s="47"/>
      <c r="M77" s="47"/>
      <c r="N77" s="47"/>
      <c r="O77" s="47"/>
      <c r="P77" s="47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</row>
    <row r="78" spans="2:34" x14ac:dyDescent="0.25">
      <c r="B78" s="10"/>
      <c r="C78" s="1"/>
      <c r="D78" s="1"/>
      <c r="E78" s="1"/>
      <c r="F78" s="1"/>
      <c r="G78" s="1"/>
      <c r="H78" s="1"/>
      <c r="I78" s="47"/>
      <c r="J78" s="47"/>
      <c r="K78" s="47"/>
      <c r="L78" s="47"/>
      <c r="M78" s="47"/>
      <c r="N78" s="47"/>
      <c r="O78" s="47"/>
      <c r="P78" s="47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</row>
    <row r="79" spans="2:34" x14ac:dyDescent="0.25">
      <c r="B79" s="10"/>
      <c r="C79" s="1"/>
      <c r="D79" s="1"/>
      <c r="E79" s="1"/>
      <c r="F79" s="1"/>
      <c r="G79" s="1"/>
      <c r="H79" s="1"/>
      <c r="I79" s="47"/>
      <c r="J79" s="47"/>
      <c r="K79" s="47"/>
      <c r="L79" s="47"/>
      <c r="M79" s="47"/>
      <c r="N79" s="47"/>
      <c r="O79" s="47"/>
      <c r="P79" s="47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</row>
    <row r="80" spans="2:34" x14ac:dyDescent="0.25">
      <c r="B80" s="10"/>
      <c r="C80" s="1"/>
      <c r="D80" s="1"/>
      <c r="E80" s="1"/>
      <c r="F80" s="1"/>
      <c r="G80" s="1"/>
      <c r="H80" s="1"/>
      <c r="I80" s="47"/>
      <c r="J80" s="47"/>
      <c r="K80" s="47"/>
      <c r="L80" s="47"/>
      <c r="M80" s="47"/>
      <c r="N80" s="47"/>
      <c r="O80" s="47"/>
      <c r="P80" s="47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</row>
    <row r="81" spans="2:34" x14ac:dyDescent="0.25">
      <c r="B81" s="10"/>
      <c r="C81" s="1"/>
      <c r="D81" s="1"/>
      <c r="E81" s="1"/>
      <c r="F81" s="1"/>
      <c r="G81" s="1"/>
      <c r="H81" s="1"/>
      <c r="I81" s="47"/>
      <c r="J81" s="47"/>
      <c r="K81" s="47"/>
      <c r="L81" s="47"/>
      <c r="M81" s="47"/>
      <c r="N81" s="47"/>
      <c r="O81" s="47"/>
      <c r="P81" s="47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</row>
    <row r="82" spans="2:34" x14ac:dyDescent="0.25">
      <c r="B82" s="10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</row>
    <row r="83" spans="2:34" x14ac:dyDescent="0.25">
      <c r="B83" s="10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</row>
    <row r="84" spans="2:34" x14ac:dyDescent="0.25">
      <c r="B84" s="10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</row>
    <row r="85" spans="2:34" x14ac:dyDescent="0.25">
      <c r="B85" s="10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</row>
    <row r="86" spans="2:34" x14ac:dyDescent="0.25">
      <c r="B86" s="10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</row>
    <row r="87" spans="2:34" x14ac:dyDescent="0.25">
      <c r="B87" s="10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</row>
    <row r="88" spans="2:34" x14ac:dyDescent="0.25">
      <c r="B88" s="10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</row>
    <row r="89" spans="2:34" x14ac:dyDescent="0.25">
      <c r="B89" s="10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</row>
    <row r="90" spans="2:34" ht="15" customHeight="1" x14ac:dyDescent="0.25">
      <c r="B90" s="10"/>
      <c r="F90" s="46"/>
      <c r="G90" s="46"/>
      <c r="H90" s="46"/>
      <c r="I90" s="46"/>
      <c r="J90" s="47"/>
      <c r="K90" s="47"/>
      <c r="L90" s="46"/>
      <c r="M90" s="46"/>
      <c r="N90" s="47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</row>
    <row r="91" spans="2:34" ht="15" customHeight="1" x14ac:dyDescent="0.25">
      <c r="B91" s="10"/>
      <c r="C91" s="8" t="s">
        <v>53</v>
      </c>
      <c r="D91" s="8" t="s">
        <v>258</v>
      </c>
      <c r="E91" s="9" t="s">
        <v>69</v>
      </c>
      <c r="F91" s="46"/>
      <c r="G91" s="46"/>
      <c r="H91" s="46"/>
      <c r="I91" s="46"/>
      <c r="J91" s="47"/>
      <c r="K91" s="47"/>
      <c r="L91" s="46"/>
      <c r="M91" s="46"/>
      <c r="N91" s="47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</row>
    <row r="92" spans="2:34" ht="15" customHeight="1" x14ac:dyDescent="0.25">
      <c r="B92" s="10"/>
      <c r="C92" s="49" t="s">
        <v>54</v>
      </c>
      <c r="D92" s="49" t="s">
        <v>259</v>
      </c>
      <c r="E92" s="50">
        <v>50</v>
      </c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</row>
    <row r="93" spans="2:34" ht="15" customHeight="1" x14ac:dyDescent="0.25">
      <c r="B93" s="10"/>
      <c r="C93" s="49" t="s">
        <v>55</v>
      </c>
      <c r="D93" s="49" t="s">
        <v>260</v>
      </c>
      <c r="E93" s="50">
        <v>20</v>
      </c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</row>
    <row r="94" spans="2:34" ht="15" customHeight="1" x14ac:dyDescent="0.25">
      <c r="B94" s="10"/>
      <c r="C94" s="49" t="s">
        <v>56</v>
      </c>
      <c r="D94" s="49" t="s">
        <v>261</v>
      </c>
      <c r="E94" s="50">
        <v>60</v>
      </c>
      <c r="H94" s="47"/>
      <c r="I94" s="47"/>
      <c r="J94" s="47"/>
      <c r="K94" s="47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</row>
    <row r="95" spans="2:34" ht="15" customHeight="1" x14ac:dyDescent="0.25">
      <c r="B95" s="10"/>
      <c r="C95" s="49" t="s">
        <v>57</v>
      </c>
      <c r="D95" s="49" t="s">
        <v>262</v>
      </c>
      <c r="E95" s="50">
        <v>40</v>
      </c>
      <c r="H95" s="47"/>
      <c r="I95" s="47"/>
      <c r="J95" s="47"/>
      <c r="K95" s="47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</row>
    <row r="96" spans="2:34" ht="15" customHeight="1" x14ac:dyDescent="0.25">
      <c r="B96" s="10"/>
      <c r="C96" s="49" t="s">
        <v>54</v>
      </c>
      <c r="D96" s="49" t="s">
        <v>263</v>
      </c>
      <c r="E96" s="50">
        <v>50</v>
      </c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</row>
    <row r="97" spans="2:34" x14ac:dyDescent="0.25">
      <c r="B97" s="10"/>
      <c r="C97" s="49" t="s">
        <v>55</v>
      </c>
      <c r="D97" s="49" t="s">
        <v>264</v>
      </c>
      <c r="E97" s="50">
        <v>20</v>
      </c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</row>
    <row r="98" spans="2:34" x14ac:dyDescent="0.25">
      <c r="B98" s="10"/>
      <c r="C98" s="49" t="s">
        <v>56</v>
      </c>
      <c r="D98" s="49" t="s">
        <v>265</v>
      </c>
      <c r="E98" s="50">
        <v>60</v>
      </c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</row>
    <row r="99" spans="2:34" x14ac:dyDescent="0.25">
      <c r="B99" s="10"/>
      <c r="C99" s="49" t="s">
        <v>57</v>
      </c>
      <c r="D99" s="49" t="s">
        <v>266</v>
      </c>
      <c r="E99" s="50">
        <v>40</v>
      </c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</row>
    <row r="100" spans="2:34" x14ac:dyDescent="0.25">
      <c r="B100" s="10"/>
      <c r="C100" s="49" t="s">
        <v>54</v>
      </c>
      <c r="D100" s="49" t="s">
        <v>263</v>
      </c>
      <c r="E100" s="50">
        <v>50</v>
      </c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</row>
    <row r="101" spans="2:34" x14ac:dyDescent="0.25">
      <c r="B101" s="10"/>
      <c r="C101" s="49" t="s">
        <v>55</v>
      </c>
      <c r="D101" s="49" t="s">
        <v>264</v>
      </c>
      <c r="E101" s="50">
        <v>20</v>
      </c>
      <c r="F101" s="46"/>
      <c r="G101" s="46"/>
    </row>
    <row r="102" spans="2:34" ht="15" customHeight="1" x14ac:dyDescent="0.25">
      <c r="B102" s="10"/>
      <c r="C102" s="49" t="s">
        <v>56</v>
      </c>
      <c r="D102" s="49" t="s">
        <v>261</v>
      </c>
      <c r="E102" s="50">
        <v>60</v>
      </c>
      <c r="F102" s="52"/>
      <c r="G102" s="52"/>
    </row>
    <row r="103" spans="2:34" ht="15" customHeight="1" x14ac:dyDescent="0.25">
      <c r="B103" s="10"/>
      <c r="C103" s="49" t="s">
        <v>57</v>
      </c>
      <c r="D103" s="49" t="s">
        <v>266</v>
      </c>
      <c r="E103" s="50">
        <v>40</v>
      </c>
      <c r="F103" s="52"/>
      <c r="G103" s="52"/>
    </row>
    <row r="104" spans="2:34" ht="15" customHeight="1" x14ac:dyDescent="0.25">
      <c r="B104" s="10"/>
      <c r="C104" s="47"/>
      <c r="D104" s="47"/>
      <c r="E104" s="48"/>
    </row>
    <row r="105" spans="2:34" ht="15" customHeight="1" thickBot="1" x14ac:dyDescent="0.3">
      <c r="B105" s="10"/>
      <c r="C105" s="47" t="s">
        <v>53</v>
      </c>
      <c r="D105" s="47" t="s">
        <v>258</v>
      </c>
      <c r="E105" s="27" t="s">
        <v>267</v>
      </c>
    </row>
    <row r="106" spans="2:34" ht="15" customHeight="1" thickTop="1" thickBot="1" x14ac:dyDescent="0.3">
      <c r="B106" s="10"/>
      <c r="C106" s="56" t="s">
        <v>57</v>
      </c>
      <c r="D106" s="56" t="s">
        <v>266</v>
      </c>
      <c r="E106" s="51">
        <f>SUMIFS(E92:E103,C92:C103,C106,D92:D103,D106)</f>
        <v>80</v>
      </c>
    </row>
    <row r="107" spans="2:34" ht="15" customHeight="1" thickTop="1" x14ac:dyDescent="0.25">
      <c r="B107" s="10"/>
      <c r="E107" s="46"/>
    </row>
    <row r="108" spans="2:34" x14ac:dyDescent="0.25">
      <c r="E108" s="46"/>
    </row>
    <row r="109" spans="2:34" x14ac:dyDescent="0.25">
      <c r="E109" s="46"/>
    </row>
    <row r="110" spans="2:34" x14ac:dyDescent="0.25">
      <c r="E110" s="46"/>
    </row>
    <row r="117" spans="3:4" x14ac:dyDescent="0.25">
      <c r="C117" s="14" t="s">
        <v>255</v>
      </c>
      <c r="D117" s="14" t="s">
        <v>69</v>
      </c>
    </row>
    <row r="118" spans="3:4" x14ac:dyDescent="0.25">
      <c r="C118" s="15" t="s">
        <v>60</v>
      </c>
      <c r="D118" s="15">
        <v>50</v>
      </c>
    </row>
    <row r="119" spans="3:4" x14ac:dyDescent="0.25">
      <c r="C119" s="15" t="s">
        <v>61</v>
      </c>
      <c r="D119" s="15">
        <v>100</v>
      </c>
    </row>
    <row r="120" spans="3:4" x14ac:dyDescent="0.25">
      <c r="C120" s="15" t="s">
        <v>62</v>
      </c>
      <c r="D120" s="15">
        <v>40</v>
      </c>
    </row>
    <row r="121" spans="3:4" x14ac:dyDescent="0.25">
      <c r="C121" s="15" t="s">
        <v>63</v>
      </c>
      <c r="D121" s="15">
        <v>50</v>
      </c>
    </row>
    <row r="122" spans="3:4" ht="15.75" thickBot="1" x14ac:dyDescent="0.3">
      <c r="C122" s="15" t="s">
        <v>64</v>
      </c>
      <c r="D122" s="15">
        <v>20</v>
      </c>
    </row>
    <row r="123" spans="3:4" ht="16.5" thickTop="1" thickBot="1" x14ac:dyDescent="0.3">
      <c r="C123" s="61"/>
      <c r="D123" s="62">
        <f>SUMIF(D118:D122,"&gt;50")</f>
        <v>100</v>
      </c>
    </row>
    <row r="124" spans="3:4" ht="15.75" thickTop="1" x14ac:dyDescent="0.25"/>
  </sheetData>
  <dataValidations count="2">
    <dataValidation type="list" allowBlank="1" showInputMessage="1" showErrorMessage="1" sqref="C17 C34 F17 F34 C106 C64 C81 F64 F81" xr:uid="{00000000-0002-0000-0900-000000000000}">
      <formula1>lst_Fruit</formula1>
    </dataValidation>
    <dataValidation type="list" allowBlank="1" showInputMessage="1" showErrorMessage="1" sqref="G17 G34 D106 G64 G81" xr:uid="{00000000-0002-0000-0900-000001000000}">
      <formula1>INDIRECT(C17)</formula1>
    </dataValidation>
  </dataValidations>
  <pageMargins left="0.7" right="0.7" top="0.75" bottom="0.75" header="0.3" footer="0.3"/>
  <pageSetup paperSize="9" orientation="landscape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14"/>
  <sheetViews>
    <sheetView showGridLines="0" topLeftCell="A12" workbookViewId="0"/>
  </sheetViews>
  <sheetFormatPr defaultRowHeight="15" x14ac:dyDescent="0.25"/>
  <cols>
    <col min="1" max="1" width="13" customWidth="1"/>
    <col min="2" max="2" width="82.85546875" customWidth="1"/>
    <col min="3" max="4" width="13.140625" customWidth="1"/>
  </cols>
  <sheetData>
    <row r="1" spans="1:4" ht="60" customHeight="1" x14ac:dyDescent="0.25">
      <c r="A1" s="31" t="s">
        <v>270</v>
      </c>
      <c r="C1" s="81"/>
      <c r="D1" s="95"/>
    </row>
    <row r="2" spans="1:4" x14ac:dyDescent="0.25">
      <c r="A2" s="31" t="s">
        <v>271</v>
      </c>
    </row>
    <row r="3" spans="1:4" ht="15" customHeight="1" x14ac:dyDescent="0.25">
      <c r="A3" s="33" t="s">
        <v>296</v>
      </c>
    </row>
    <row r="4" spans="1:4" ht="15" customHeight="1" x14ac:dyDescent="0.25">
      <c r="A4" s="33" t="s">
        <v>272</v>
      </c>
      <c r="C4" s="40" t="s">
        <v>53</v>
      </c>
      <c r="D4" s="37" t="s">
        <v>69</v>
      </c>
    </row>
    <row r="5" spans="1:4" ht="15" customHeight="1" x14ac:dyDescent="0.25">
      <c r="A5" s="33" t="s">
        <v>273</v>
      </c>
      <c r="C5" s="49" t="s">
        <v>54</v>
      </c>
      <c r="D5" s="50">
        <v>50</v>
      </c>
    </row>
    <row r="6" spans="1:4" x14ac:dyDescent="0.25">
      <c r="A6" s="31" t="s">
        <v>274</v>
      </c>
      <c r="C6" s="49" t="s">
        <v>55</v>
      </c>
      <c r="D6" s="50">
        <v>20</v>
      </c>
    </row>
    <row r="7" spans="1:4" ht="15" customHeight="1" x14ac:dyDescent="0.25">
      <c r="A7" s="33" t="s">
        <v>275</v>
      </c>
      <c r="C7" s="49" t="s">
        <v>56</v>
      </c>
      <c r="D7" s="50">
        <v>60</v>
      </c>
    </row>
    <row r="8" spans="1:4" ht="15" customHeight="1" x14ac:dyDescent="0.25">
      <c r="A8" s="31" t="s">
        <v>20</v>
      </c>
      <c r="C8" s="49" t="s">
        <v>57</v>
      </c>
      <c r="D8" s="50">
        <v>40</v>
      </c>
    </row>
    <row r="9" spans="1:4" ht="15" customHeight="1" thickBot="1" x14ac:dyDescent="0.3">
      <c r="A9" s="31" t="s">
        <v>21</v>
      </c>
      <c r="C9" s="47"/>
      <c r="D9" s="47"/>
    </row>
    <row r="10" spans="1:4" ht="16.5" thickTop="1" thickBot="1" x14ac:dyDescent="0.3">
      <c r="A10" s="31" t="s">
        <v>22</v>
      </c>
      <c r="C10" s="64" t="s">
        <v>54</v>
      </c>
      <c r="D10" s="51">
        <f>VLOOKUP(C10,C5:D8,2,FALSE)</f>
        <v>50</v>
      </c>
    </row>
    <row r="11" spans="1:4" ht="15.75" thickTop="1" x14ac:dyDescent="0.25">
      <c r="A11" s="31" t="s">
        <v>24</v>
      </c>
    </row>
    <row r="12" spans="1:4" x14ac:dyDescent="0.25">
      <c r="A12" s="31" t="s">
        <v>276</v>
      </c>
    </row>
    <row r="13" spans="1:4" x14ac:dyDescent="0.25">
      <c r="A13" s="31" t="s">
        <v>277</v>
      </c>
    </row>
    <row r="14" spans="1:4" x14ac:dyDescent="0.25">
      <c r="A14" s="31" t="s">
        <v>27</v>
      </c>
    </row>
  </sheetData>
  <dataValidations count="1">
    <dataValidation type="list" allowBlank="1" showInputMessage="1" showErrorMessage="1" sqref="C10" xr:uid="{00000000-0002-0000-0A00-000000000000}">
      <formula1>$C$5:$C$8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37"/>
  <sheetViews>
    <sheetView showGridLines="0" topLeftCell="A25" zoomScaleNormal="100" workbookViewId="0"/>
  </sheetViews>
  <sheetFormatPr defaultRowHeight="15" x14ac:dyDescent="0.25"/>
  <cols>
    <col min="1" max="1" width="13" customWidth="1"/>
    <col min="2" max="2" width="82.85546875" customWidth="1"/>
    <col min="3" max="4" width="13.28515625" customWidth="1"/>
  </cols>
  <sheetData>
    <row r="1" spans="1:4" ht="60" customHeight="1" x14ac:dyDescent="0.25">
      <c r="A1" s="31" t="s">
        <v>278</v>
      </c>
      <c r="C1" s="81"/>
      <c r="D1" s="100"/>
    </row>
    <row r="2" spans="1:4" ht="15" customHeight="1" x14ac:dyDescent="0.25">
      <c r="A2" s="31" t="s">
        <v>279</v>
      </c>
      <c r="C2" s="99"/>
      <c r="D2" s="99"/>
    </row>
    <row r="3" spans="1:4" x14ac:dyDescent="0.25">
      <c r="A3" s="31" t="s">
        <v>280</v>
      </c>
      <c r="C3" s="40" t="s">
        <v>53</v>
      </c>
      <c r="D3" s="37" t="s">
        <v>69</v>
      </c>
    </row>
    <row r="4" spans="1:4" x14ac:dyDescent="0.25">
      <c r="A4" s="31" t="s">
        <v>281</v>
      </c>
      <c r="C4" s="120" t="s">
        <v>54</v>
      </c>
      <c r="D4" s="121">
        <v>50</v>
      </c>
    </row>
    <row r="5" spans="1:4" x14ac:dyDescent="0.25">
      <c r="A5" s="31" t="s">
        <v>282</v>
      </c>
      <c r="C5" s="120" t="s">
        <v>55</v>
      </c>
      <c r="D5" s="121">
        <v>20</v>
      </c>
    </row>
    <row r="6" spans="1:4" x14ac:dyDescent="0.25">
      <c r="A6" s="31" t="s">
        <v>283</v>
      </c>
      <c r="C6" s="120" t="s">
        <v>56</v>
      </c>
      <c r="D6" s="121">
        <v>60</v>
      </c>
    </row>
    <row r="7" spans="1:4" ht="15" customHeight="1" x14ac:dyDescent="0.25">
      <c r="A7" s="33" t="s">
        <v>284</v>
      </c>
      <c r="C7" s="120" t="s">
        <v>57</v>
      </c>
      <c r="D7" s="121">
        <v>40</v>
      </c>
    </row>
    <row r="8" spans="1:4" ht="15.75" thickBot="1" x14ac:dyDescent="0.3">
      <c r="A8" s="31" t="s">
        <v>20</v>
      </c>
      <c r="C8" s="47"/>
      <c r="D8" s="47"/>
    </row>
    <row r="9" spans="1:4" ht="16.5" thickTop="1" thickBot="1" x14ac:dyDescent="0.3">
      <c r="A9" s="31" t="s">
        <v>21</v>
      </c>
      <c r="C9" s="98" t="s">
        <v>189</v>
      </c>
      <c r="D9" s="51" t="e">
        <f>VLOOKUP(C9,C3:D7,2,FALSE)</f>
        <v>#N/A</v>
      </c>
    </row>
    <row r="10" spans="1:4" ht="15.75" thickTop="1" x14ac:dyDescent="0.25">
      <c r="A10" s="31" t="s">
        <v>22</v>
      </c>
    </row>
    <row r="11" spans="1:4" x14ac:dyDescent="0.25">
      <c r="A11" s="31" t="s">
        <v>285</v>
      </c>
    </row>
    <row r="12" spans="1:4" x14ac:dyDescent="0.25">
      <c r="A12" s="31" t="s">
        <v>286</v>
      </c>
    </row>
    <row r="13" spans="1:4" x14ac:dyDescent="0.25">
      <c r="A13" s="31" t="s">
        <v>287</v>
      </c>
    </row>
    <row r="14" spans="1:4" x14ac:dyDescent="0.25">
      <c r="A14" s="31" t="s">
        <v>27</v>
      </c>
    </row>
    <row r="30" spans="3:4" x14ac:dyDescent="0.25">
      <c r="C30" s="40" t="s">
        <v>53</v>
      </c>
      <c r="D30" s="37" t="s">
        <v>69</v>
      </c>
    </row>
    <row r="31" spans="3:4" x14ac:dyDescent="0.25">
      <c r="C31" s="120" t="s">
        <v>54</v>
      </c>
      <c r="D31" s="121">
        <v>50</v>
      </c>
    </row>
    <row r="32" spans="3:4" x14ac:dyDescent="0.25">
      <c r="C32" s="120" t="s">
        <v>55</v>
      </c>
      <c r="D32" s="121">
        <v>20</v>
      </c>
    </row>
    <row r="33" spans="3:4" x14ac:dyDescent="0.25">
      <c r="C33" s="120" t="s">
        <v>56</v>
      </c>
      <c r="D33" s="121">
        <v>60</v>
      </c>
    </row>
    <row r="34" spans="3:4" x14ac:dyDescent="0.25">
      <c r="C34" s="120" t="s">
        <v>57</v>
      </c>
      <c r="D34" s="121">
        <v>40</v>
      </c>
    </row>
    <row r="35" spans="3:4" ht="15.75" thickBot="1" x14ac:dyDescent="0.3"/>
    <row r="36" spans="3:4" ht="16.5" thickTop="1" thickBot="1" x14ac:dyDescent="0.3">
      <c r="C36" s="98" t="s">
        <v>196</v>
      </c>
      <c r="D36" s="51" t="e">
        <f ca="1">sume(D31:D34)</f>
        <v>#NAME?</v>
      </c>
    </row>
    <row r="37" spans="3:4" ht="15.75" thickTop="1" x14ac:dyDescent="0.25"/>
  </sheetData>
  <dataValidations count="1">
    <dataValidation type="list" allowBlank="1" showInputMessage="1" showErrorMessage="1" sqref="C9" xr:uid="{00000000-0002-0000-0B00-000000000000}">
      <formula1>$C$4:$C$7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s_LearnMore"/>
  <dimension ref="A1:B6"/>
  <sheetViews>
    <sheetView showGridLines="0" zoomScaleNormal="100" workbookViewId="0"/>
  </sheetViews>
  <sheetFormatPr defaultColWidth="8.85546875" defaultRowHeight="15" customHeight="1" x14ac:dyDescent="0.25"/>
  <cols>
    <col min="1" max="1" width="8.85546875" style="41"/>
    <col min="2" max="2" width="95.140625" style="42" customWidth="1"/>
    <col min="3" max="16384" width="8.85546875" style="42"/>
  </cols>
  <sheetData>
    <row r="1" spans="1:2" ht="60" customHeight="1" x14ac:dyDescent="0.25">
      <c r="A1" s="41" t="s">
        <v>288</v>
      </c>
    </row>
    <row r="2" spans="1:2" s="43" customFormat="1" ht="15" customHeight="1" x14ac:dyDescent="0.3">
      <c r="A2" s="41" t="s">
        <v>311</v>
      </c>
      <c r="B2" s="42"/>
    </row>
    <row r="3" spans="1:2" s="43" customFormat="1" ht="15" customHeight="1" x14ac:dyDescent="0.3">
      <c r="A3" s="41" t="s">
        <v>289</v>
      </c>
      <c r="B3" s="42"/>
    </row>
    <row r="4" spans="1:2" s="44" customFormat="1" ht="15" customHeight="1" x14ac:dyDescent="0.7">
      <c r="A4" s="41" t="s">
        <v>290</v>
      </c>
      <c r="B4" s="42"/>
    </row>
    <row r="5" spans="1:2" s="45" customFormat="1" ht="15" customHeight="1" x14ac:dyDescent="0.25">
      <c r="A5" s="41" t="s">
        <v>291</v>
      </c>
      <c r="B5" s="42"/>
    </row>
    <row r="6" spans="1:2" s="45" customFormat="1" ht="15" customHeight="1" x14ac:dyDescent="0.25">
      <c r="A6" s="41"/>
      <c r="B6" s="42"/>
    </row>
  </sheetData>
  <hyperlinks>
    <hyperlink ref="A4" r:id="rId1" tooltip="Дополнительные сведения о сообществе" display="http://go.microsoft.com/fwlink/?LinkId=844969" xr:uid="{00000000-0004-0000-0C00-000000000000}"/>
    <hyperlink ref="A5" r:id="rId2" tooltip="Дополнительные сведения о нововведениях" display="https://support.office.com/ru-ru/article/Новые-возможности-excel-2016-для-windows-5fdb9208-ff33-45b6-9e08-1f5cdb3a6c73?omkt=ru-RU" xr:uid="{00000000-0004-0000-0C00-000001000000}"/>
  </hyperlinks>
  <pageMargins left="0.7" right="0.7" top="0.75" bottom="0.75" header="0.3" footer="0.3"/>
  <pageSetup paperSize="9" orientation="landscape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16</vt:i4>
      </vt:variant>
    </vt:vector>
  </HeadingPairs>
  <TitlesOfParts>
    <vt:vector size="29" baseType="lpstr">
      <vt:lpstr>Начало</vt:lpstr>
      <vt:lpstr>Основные сведения</vt:lpstr>
      <vt:lpstr>Общие сведения о функциях</vt:lpstr>
      <vt:lpstr>СРЗНАЧ</vt:lpstr>
      <vt:lpstr>МИН И МАКС</vt:lpstr>
      <vt:lpstr>Дата и время</vt:lpstr>
      <vt:lpstr>Объединение текста и чисел</vt:lpstr>
      <vt:lpstr>Операторы ЕСЛИ</vt:lpstr>
      <vt:lpstr>ВПР</vt:lpstr>
      <vt:lpstr>Условные функции</vt:lpstr>
      <vt:lpstr>Мастер функций</vt:lpstr>
      <vt:lpstr>Ошибки в формулах</vt:lpstr>
      <vt:lpstr>Дополнительные сведения</vt:lpstr>
      <vt:lpstr>'Общие сведения о функциях'!ExtraCredit</vt:lpstr>
      <vt:lpstr>lst_Fruit</vt:lpstr>
      <vt:lpstr>lst_FruitType</vt:lpstr>
      <vt:lpstr>'Общие сведения о функциях'!MoreFruit</vt:lpstr>
      <vt:lpstr>'Общие сведения о функциях'!MoreItems</vt:lpstr>
      <vt:lpstr>'Общие сведения о функциях'!SUMExtraCredit</vt:lpstr>
      <vt:lpstr>Апельсины</vt:lpstr>
      <vt:lpstr>Бананы</vt:lpstr>
      <vt:lpstr>'Условные функции'!Извлечь</vt:lpstr>
      <vt:lpstr>'Общие сведения о функциях'!Итого</vt:lpstr>
      <vt:lpstr>Лимоны</vt:lpstr>
      <vt:lpstr>'Общие сведения о функциях'!Мясо</vt:lpstr>
      <vt:lpstr>'Общие сведения о функциях'!Товары</vt:lpstr>
      <vt:lpstr>ф18</vt:lpstr>
      <vt:lpstr>'Общие сведения о функциях'!Фрукты</vt:lpstr>
      <vt:lpstr>Яблоки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Corporation;Microsoft</dc:creator>
  <cp:keywords/>
  <dc:description/>
  <cp:lastModifiedBy>user</cp:lastModifiedBy>
  <dcterms:created xsi:type="dcterms:W3CDTF">2018-02-03T09:21:33Z</dcterms:created>
  <dcterms:modified xsi:type="dcterms:W3CDTF">2018-10-09T05:56:16Z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v-rimour@microsoft.com</vt:lpwstr>
  </property>
  <property fmtid="{D5CDD505-2E9C-101B-9397-08002B2CF9AE}" pid="5" name="MSIP_Label_f42aa342-8706-4288-bd11-ebb85995028c_SetDate">
    <vt:lpwstr>2018-02-03T09:21:40.8531961Z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